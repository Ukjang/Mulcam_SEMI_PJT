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kwoni\Desktop\"/>
    </mc:Choice>
  </mc:AlternateContent>
  <xr:revisionPtr revIDLastSave="0" documentId="13_ncr:1_{6B95AEA7-7DF8-4A99-8C1A-B4CE53105124}" xr6:coauthVersionLast="47" xr6:coauthVersionMax="47" xr10:uidLastSave="{00000000-0000-0000-0000-000000000000}"/>
  <bookViews>
    <workbookView xWindow="-110" yWindow="-110" windowWidth="19420" windowHeight="10420"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Schedule!$D$1:$BN$53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R5" i="2" l="1"/>
  <c r="AS6" i="2"/>
  <c r="AY7" i="2"/>
  <c r="AG8" i="2"/>
  <c r="AG9" i="2"/>
  <c r="AG10" i="2"/>
  <c r="AG11" i="2"/>
  <c r="AN12" i="2"/>
  <c r="AP13" i="2"/>
  <c r="AP14" i="2"/>
  <c r="AV15" i="2"/>
  <c r="AX16" i="2"/>
  <c r="AX17" i="2"/>
  <c r="AV18" i="2"/>
  <c r="AI19" i="2"/>
  <c r="AL20" i="2"/>
  <c r="AL21" i="2"/>
  <c r="AH22" i="2"/>
  <c r="AH23" i="2"/>
  <c r="AH24" i="2"/>
  <c r="AG25" i="2"/>
  <c r="AK26" i="2"/>
  <c r="AN27" i="2"/>
  <c r="AN28" i="2"/>
  <c r="AO29" i="2"/>
  <c r="AO30" i="2"/>
  <c r="AO31" i="2"/>
  <c r="AG32" i="2"/>
  <c r="AG33" i="2"/>
  <c r="AG34" i="2"/>
  <c r="AK35" i="2"/>
  <c r="AK36" i="2"/>
  <c r="AK37" i="2"/>
  <c r="AK38" i="2"/>
  <c r="AK39" i="2"/>
  <c r="AK40" i="2"/>
  <c r="AK41" i="2"/>
  <c r="AN42" i="2"/>
  <c r="AN43" i="2"/>
  <c r="AN44" i="2"/>
  <c r="AN45" i="2"/>
  <c r="AR46" i="2"/>
  <c r="AR47" i="2"/>
  <c r="AR48" i="2"/>
  <c r="AW49" i="2"/>
  <c r="AW50" i="2"/>
  <c r="AK51" i="2"/>
  <c r="AK52" i="2"/>
  <c r="AX53" i="2"/>
  <c r="J10" i="4"/>
  <c r="G10" i="4"/>
  <c r="D10" i="4"/>
  <c r="K7" i="4"/>
  <c r="L7" i="4" s="1"/>
  <c r="H7" i="4"/>
  <c r="I7" i="4" s="1"/>
  <c r="E7" i="4"/>
  <c r="E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F8" i="4" l="1"/>
  <c r="E9" i="4"/>
  <c r="F9" i="4" s="1"/>
  <c r="F7" i="4"/>
  <c r="D1" i="2"/>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<sst xmlns="http://schemas.openxmlformats.org/spreadsheetml/2006/main" count="2834" uniqueCount="1642">
  <si>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</si>
  <si>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</si>
  <si>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</si>
  <si>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</si>
  <si>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</si>
  <si>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</si>
  <si>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</si>
  <si>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</si>
  <si>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</si>
  <si>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</si>
  <si>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</si>
  <si>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</si>
  <si>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</si>
  <si>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</si>
  <si>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</si>
  <si>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</si>
  <si>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</si>
  <si>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</si>
  <si>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</si>
  <si>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</si>
  <si>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</si>
  <si>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</si>
  <si>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</si>
  <si>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</si>
  <si>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</si>
  <si>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</si>
  <si>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</si>
  <si>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</si>
  <si>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</si>
  <si>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</si>
  <si>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</si>
  <si>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</si>
  <si>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</si>
  <si>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</si>
  <si>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</si>
  <si>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</si>
  <si>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</si>
  <si>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</si>
  <si>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</si>
  <si>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</si>
  <si>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</si>
  <si>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</si>
  <si>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</si>
  <si>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</si>
  <si>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</si>
  <si>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</si>
  <si>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</si>
  <si>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</si>
  <si>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</si>
  <si>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</si>
  <si>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</si>
  <si>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</si>
  <si>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</si>
  <si>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</si>
  <si>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</si>
  <si>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</si>
  <si>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</si>
  <si>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</si>
  <si>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</si>
  <si>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</si>
  <si>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</si>
  <si>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</si>
  <si>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</si>
  <si>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</si>
  <si>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</si>
  <si>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</si>
  <si>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</si>
  <si>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</si>
  <si>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</si>
  <si>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</si>
  <si>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</si>
  <si>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</si>
  <si>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</si>
  <si>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</si>
  <si>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</si>
  <si>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</si>
  <si>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</si>
  <si>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</si>
  <si>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</si>
  <si>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</si>
  <si>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</si>
  <si>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</si>
  <si>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</si>
  <si>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</si>
  <si>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</si>
  <si>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</si>
  <si>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</si>
  <si>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</si>
  <si>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</si>
  <si>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</si>
  <si>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</si>
  <si>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</si>
  <si>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</si>
  <si>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</si>
  <si>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</si>
  <si>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</si>
  <si>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</si>
  <si>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</si>
  <si>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</si>
  <si>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</si>
  <si>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</si>
  <si>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</si>
  <si>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</si>
  <si>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</si>
  <si>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</si>
  <si>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</si>
  <si>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</si>
  <si>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</si>
  <si>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</si>
  <si>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</si>
  <si>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</si>
  <si>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</si>
  <si>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</si>
  <si>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</si>
  <si>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</si>
  <si>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</si>
  <si>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</si>
  <si>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</si>
  <si>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</si>
  <si>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</si>
  <si>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</si>
  <si>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</si>
  <si>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</si>
  <si>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</si>
  <si>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</si>
  <si>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</si>
  <si>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</si>
  <si>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</si>
  <si>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</si>
  <si>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</si>
  <si>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</si>
  <si>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</si>
  <si>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</si>
  <si>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</si>
  <si>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</si>
  <si>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</si>
  <si>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</si>
  <si>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</si>
  <si>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</si>
  <si>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</si>
  <si>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</si>
  <si>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</si>
  <si>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</si>
  <si>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</si>
  <si>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</si>
  <si>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</si>
  <si>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</si>
  <si>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</si>
  <si>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</si>
  <si>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</si>
  <si>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</si>
  <si>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</si>
  <si>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</si>
  <si>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</si>
  <si>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</si>
  <si>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</si>
  <si>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</si>
  <si>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</si>
  <si>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</si>
  <si>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</si>
  <si>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</si>
  <si>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</si>
  <si>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</si>
  <si>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</si>
  <si>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</si>
  <si>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</si>
  <si>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</si>
  <si>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</si>
  <si>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</si>
  <si>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</si>
  <si>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</si>
  <si>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</si>
  <si>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</si>
  <si>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</si>
  <si>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</si>
  <si>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</si>
  <si>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</si>
  <si>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</si>
  <si>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</si>
  <si>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</si>
  <si>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</si>
  <si>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</si>
  <si>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</si>
  <si>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</si>
  <si>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</si>
  <si>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</si>
  <si>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</si>
  <si>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</si>
  <si>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</si>
  <si>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</si>
  <si>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</si>
  <si>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</si>
  <si>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</si>
  <si>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</si>
  <si>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</si>
  <si>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</si>
  <si>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</si>
  <si>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</si>
  <si>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</si>
  <si>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</si>
  <si>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</si>
  <si>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</si>
  <si>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</si>
  <si>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</si>
  <si>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</si>
  <si>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</si>
  <si>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</si>
  <si>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</si>
  <si>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</si>
  <si>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</si>
  <si>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</si>
  <si>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</si>
  <si>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</si>
  <si>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</si>
  <si>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</si>
  <si>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</si>
  <si>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</si>
  <si>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</si>
  <si>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</si>
  <si>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</si>
  <si>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</si>
  <si>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</si>
  <si>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</si>
  <si>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</si>
  <si>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</si>
  <si>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</si>
  <si>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</si>
  <si>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</si>
  <si>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</si>
  <si>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</si>
  <si>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</si>
  <si>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</si>
  <si>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</si>
  <si>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</si>
  <si>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</si>
  <si>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</si>
  <si>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</si>
  <si>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</si>
  <si>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</si>
  <si>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</si>
  <si>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</si>
  <si>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</si>
  <si>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</si>
  <si>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</si>
  <si>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</si>
  <si>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</si>
  <si>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</si>
  <si>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</si>
  <si>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</si>
  <si>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</si>
  <si>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</si>
  <si>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</si>
  <si>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</si>
  <si>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</si>
  <si>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</si>
  <si>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</si>
  <si>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</si>
  <si>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</si>
  <si>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</si>
  <si>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</si>
  <si>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</si>
  <si>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</si>
  <si>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</si>
  <si>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</si>
  <si>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</si>
  <si>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</si>
  <si>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</si>
  <si>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</si>
  <si>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</si>
  <si>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</si>
  <si>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</si>
  <si>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</si>
  <si>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</si>
  <si>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</si>
  <si>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</si>
  <si>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</si>
  <si>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</si>
  <si>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</si>
  <si>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</si>
  <si>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</si>
  <si>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</si>
  <si>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</si>
  <si>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</si>
  <si>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</si>
  <si>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</si>
  <si>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</si>
  <si>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</si>
  <si>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</si>
  <si>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</si>
  <si>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</si>
  <si>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</si>
  <si>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</si>
  <si>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</si>
  <si>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</si>
  <si>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</si>
  <si>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</si>
  <si>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</si>
  <si>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</si>
  <si>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</si>
  <si>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</si>
  <si>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</si>
  <si>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</si>
  <si>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</si>
  <si>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</si>
  <si>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</si>
  <si>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</si>
  <si>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</si>
  <si>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</si>
  <si>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</si>
  <si>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</si>
  <si>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</si>
  <si>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</si>
  <si>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</si>
  <si>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</si>
  <si>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</si>
  <si>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</si>
  <si>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</si>
  <si>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</si>
  <si>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</si>
  <si>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</si>
  <si>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</si>
  <si>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</si>
  <si>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</si>
  <si>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</si>
  <si>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</si>
  <si>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</si>
  <si>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</si>
  <si>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</si>
  <si>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</si>
  <si>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</si>
  <si>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</si>
  <si>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</si>
  <si>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</si>
  <si>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</si>
  <si>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</si>
  <si>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</si>
  <si>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</si>
  <si>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</si>
  <si>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</si>
  <si>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</si>
  <si>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</si>
  <si>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</si>
  <si>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</si>
  <si>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</si>
  <si>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</si>
  <si>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</si>
  <si>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</si>
  <si>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</si>
  <si>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</si>
  <si>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</si>
  <si>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</si>
  <si>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</si>
  <si>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</si>
  <si>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</si>
  <si>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</si>
  <si>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</si>
  <si>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</si>
  <si>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</si>
  <si>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</si>
  <si>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</si>
  <si>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</si>
  <si>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</si>
  <si>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</si>
  <si>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</si>
  <si>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</si>
  <si>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</si>
  <si>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</si>
  <si>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</si>
  <si>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</si>
  <si>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</si>
  <si>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</si>
  <si>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</si>
  <si>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</si>
  <si>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</si>
  <si>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</si>
  <si>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</si>
  <si>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</si>
  <si>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</si>
  <si>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</si>
  <si>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</si>
  <si>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</si>
  <si>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</si>
  <si>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</si>
  <si>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</si>
  <si>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</si>
  <si>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</si>
  <si>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</si>
  <si>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</si>
  <si>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</si>
  <si>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</si>
  <si>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</si>
  <si>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</si>
  <si>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</si>
  <si>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</si>
  <si>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</si>
  <si>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</si>
  <si>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</si>
  <si>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</si>
  <si>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</si>
  <si>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</si>
  <si>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</si>
  <si>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</si>
  <si>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</si>
  <si>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</si>
  <si>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</si>
  <si>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</si>
  <si>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</si>
  <si>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</si>
  <si>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</si>
  <si>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</si>
  <si>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</si>
  <si>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</si>
  <si>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</si>
  <si>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</si>
  <si>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</si>
  <si>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</si>
  <si>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</si>
  <si>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</si>
  <si>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</si>
  <si>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</si>
  <si>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</si>
  <si>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</si>
  <si>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</si>
  <si>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</si>
  <si>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</si>
  <si>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</si>
  <si>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</si>
  <si>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</si>
  <si>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</si>
  <si>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</si>
  <si>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</si>
  <si>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</si>
  <si>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</si>
  <si>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</si>
  <si>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</si>
  <si>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</si>
  <si>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</si>
  <si>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</si>
  <si>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</si>
  <si>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</si>
  <si>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</si>
  <si>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</si>
  <si>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</si>
  <si>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</si>
  <si>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</si>
  <si>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</si>
  <si>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</si>
  <si>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</si>
  <si>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</si>
  <si>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</si>
  <si>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</si>
  <si>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</si>
  <si>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</si>
  <si>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</si>
  <si>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</si>
  <si>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</si>
  <si>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</si>
  <si>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</si>
  <si>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</si>
  <si>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</si>
  <si>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</si>
  <si>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</si>
  <si>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</si>
  <si>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</si>
  <si>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</si>
  <si>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</si>
  <si>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</si>
  <si>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</si>
  <si>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</si>
  <si>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</si>
  <si>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</si>
  <si>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</si>
  <si>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</si>
  <si>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</si>
  <si>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</si>
  <si>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</si>
  <si>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</si>
  <si>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</si>
  <si>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</si>
  <si>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</si>
  <si>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</si>
  <si>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</si>
  <si>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</si>
  <si>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</si>
  <si>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</si>
  <si>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</si>
  <si>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</si>
  <si>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</si>
  <si>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</si>
  <si>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</si>
  <si>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</si>
  <si>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</si>
  <si>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</si>
  <si>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</si>
  <si>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</si>
  <si>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</si>
  <si>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</si>
  <si>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</si>
  <si>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</si>
  <si>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</si>
  <si>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</si>
  <si>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</si>
  <si>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</si>
  <si>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</si>
  <si>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</si>
  <si>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</si>
  <si>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</si>
  <si>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</si>
  <si>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</si>
  <si>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</si>
  <si>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</si>
  <si>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</si>
  <si>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</si>
  <si>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</si>
  <si>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</si>
  <si>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</si>
  <si>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</si>
  <si>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</si>
  <si>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</si>
  <si>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</si>
  <si>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</si>
  <si>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</si>
  <si>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</si>
  <si>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</si>
  <si>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</si>
  <si>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</si>
  <si>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</si>
  <si>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</si>
  <si>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</si>
  <si>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</si>
  <si>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</si>
  <si>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</si>
  <si>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</si>
  <si>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</si>
  <si>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</si>
  <si>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</si>
  <si>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</si>
  <si>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</si>
  <si>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</si>
  <si>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</si>
  <si>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</si>
  <si>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</si>
  <si>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</si>
  <si>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</si>
  <si>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</si>
  <si>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</si>
  <si>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</si>
  <si>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</si>
  <si>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</si>
  <si>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</si>
  <si>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</si>
  <si>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</si>
  <si>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</si>
  <si>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</si>
  <si>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</si>
  <si>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</si>
  <si>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</si>
  <si>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</si>
  <si>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</si>
  <si>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</si>
  <si>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</si>
  <si>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</si>
  <si>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</si>
  <si>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</si>
  <si>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</si>
  <si>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</si>
  <si>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</si>
  <si>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</si>
  <si>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</si>
  <si>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</si>
  <si>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</si>
  <si>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</si>
  <si>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</si>
  <si>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</si>
  <si>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</si>
  <si>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</si>
  <si>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</si>
  <si>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</si>
  <si>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</si>
  <si>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</si>
  <si>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</si>
  <si>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</si>
  <si>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</si>
  <si>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</si>
  <si>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</si>
  <si>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</si>
  <si>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</si>
  <si>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</si>
  <si>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</si>
  <si>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</si>
  <si>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</si>
  <si>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</si>
  <si>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</si>
  <si>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</si>
  <si>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</si>
  <si>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</si>
  <si>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</si>
  <si>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</si>
  <si>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</si>
  <si>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</si>
  <si>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</si>
  <si>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</si>
  <si>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</si>
  <si>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</si>
  <si>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</si>
  <si>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</si>
  <si>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</si>
  <si>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</si>
  <si>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</si>
  <si>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</si>
  <si>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</si>
  <si>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</si>
  <si>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</si>
  <si>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</si>
  <si>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</si>
  <si>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</si>
  <si>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</si>
  <si>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</si>
  <si>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</si>
  <si>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</si>
  <si>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</si>
  <si>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</si>
  <si>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</si>
  <si>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</si>
  <si>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</si>
  <si>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</si>
  <si>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</si>
  <si>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</si>
  <si>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</si>
  <si>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</si>
  <si>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</si>
  <si>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</si>
  <si>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</si>
  <si>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</si>
  <si>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</si>
  <si>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</si>
  <si>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</si>
  <si>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</si>
  <si>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</si>
  <si>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</si>
  <si>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</si>
  <si>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</si>
  <si>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</si>
  <si>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</si>
  <si>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</si>
  <si>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</si>
  <si>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</si>
  <si>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</si>
  <si>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</si>
  <si>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</si>
  <si>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</si>
  <si>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</si>
  <si>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</si>
  <si>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</si>
  <si>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</si>
  <si>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</si>
  <si>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</si>
  <si>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</si>
  <si>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</si>
  <si>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</si>
  <si>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</si>
  <si>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</si>
  <si>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</si>
  <si>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</si>
  <si>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</si>
  <si>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</si>
  <si>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</si>
  <si>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</si>
  <si>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</si>
  <si>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</si>
  <si>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</si>
  <si>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</si>
  <si>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</si>
  <si>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</si>
  <si>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</si>
  <si>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</si>
  <si>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</si>
  <si>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</si>
  <si>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</si>
  <si>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</si>
  <si>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</si>
  <si>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</si>
  <si>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</si>
  <si>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</si>
  <si>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</si>
  <si>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</si>
  <si>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</si>
  <si>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</si>
  <si>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</si>
  <si>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</si>
  <si>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</si>
  <si>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</si>
  <si>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</si>
  <si>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</si>
  <si>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</si>
  <si>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</si>
  <si>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</si>
  <si>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</si>
  <si>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</si>
  <si>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</si>
  <si>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</si>
  <si>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</si>
  <si>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</si>
  <si>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</si>
  <si>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</si>
  <si>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</si>
  <si>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</si>
  <si>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</si>
  <si>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</si>
  <si>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</si>
  <si>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</si>
  <si>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</si>
  <si>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</si>
  <si>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</si>
  <si>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</si>
  <si>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</si>
  <si>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</si>
  <si>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</si>
  <si>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</si>
  <si>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</si>
  <si>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</si>
  <si>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</si>
  <si>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</si>
  <si>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</si>
  <si>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</si>
  <si>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</si>
  <si>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</si>
  <si>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</si>
  <si>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</si>
  <si>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</si>
  <si>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</si>
  <si>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</si>
  <si>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</si>
  <si>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</si>
  <si>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</si>
  <si>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</si>
  <si>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</si>
  <si>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</si>
  <si>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</si>
  <si>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</si>
  <si>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</si>
  <si>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</si>
  <si>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</si>
  <si>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</si>
  <si>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</si>
  <si>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</si>
  <si>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</si>
  <si>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</si>
  <si>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</si>
  <si>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</si>
  <si>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</si>
  <si>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</si>
  <si>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</si>
  <si>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</si>
  <si>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</si>
  <si>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</si>
  <si>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</si>
  <si>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</si>
  <si>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</si>
  <si>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</si>
  <si>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</si>
  <si>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</si>
  <si>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</si>
  <si>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</si>
  <si>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</si>
  <si>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</si>
  <si>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</si>
  <si>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</si>
  <si>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</si>
  <si>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</si>
  <si>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</si>
  <si>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</si>
  <si>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</si>
  <si>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</si>
  <si>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</si>
  <si>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</si>
  <si>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</si>
  <si>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</si>
  <si>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</si>
  <si>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</si>
  <si>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</si>
  <si>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</si>
  <si>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</si>
  <si>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</si>
  <si>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</si>
  <si>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</si>
  <si>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</si>
  <si>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</si>
  <si>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</si>
  <si>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</si>
  <si>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</si>
  <si>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</si>
  <si>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</si>
  <si>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</si>
  <si>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</si>
  <si>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</si>
  <si>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</si>
  <si>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</si>
  <si>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</si>
  <si>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</si>
  <si>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</si>
  <si>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</si>
  <si>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</si>
  <si>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</si>
  <si>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</si>
  <si>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</si>
  <si>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</si>
  <si>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</si>
  <si>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</si>
  <si>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</si>
  <si>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</si>
  <si>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</si>
  <si>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</si>
  <si>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</si>
  <si>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</si>
  <si>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</si>
  <si>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</si>
  <si>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</si>
  <si>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</si>
  <si>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</si>
  <si>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</si>
  <si>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</si>
  <si>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</si>
  <si>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</si>
  <si>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</si>
  <si>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</si>
  <si>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</si>
  <si>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</si>
  <si>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</si>
  <si>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</si>
  <si>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</si>
  <si>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</si>
  <si>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</si>
  <si>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</si>
  <si>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</si>
  <si>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</si>
  <si>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</si>
  <si>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</si>
  <si>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</si>
  <si>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</si>
  <si>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</si>
  <si>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</si>
  <si>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</si>
  <si>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</si>
  <si>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</si>
  <si>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</si>
  <si>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</si>
  <si>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</si>
  <si>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</si>
  <si>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</si>
  <si>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</si>
  <si>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</si>
  <si>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</si>
  <si>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</si>
  <si>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</si>
  <si>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</si>
  <si>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</si>
  <si>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</si>
  <si>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</si>
  <si>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</si>
  <si>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</si>
  <si>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</si>
  <si>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</si>
  <si>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</si>
  <si>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</si>
  <si>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</si>
  <si>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</si>
  <si>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</si>
  <si>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</si>
  <si>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</si>
  <si>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</si>
  <si>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</si>
  <si>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</si>
  <si>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</si>
  <si>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</si>
  <si>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</si>
  <si>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</si>
  <si>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</si>
  <si>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</si>
  <si>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</si>
  <si>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</si>
  <si>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</si>
  <si>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</si>
  <si>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</si>
  <si>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</si>
  <si>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</si>
  <si>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</si>
  <si>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</si>
  <si>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</si>
  <si>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</si>
  <si>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</si>
  <si>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</si>
  <si>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</si>
  <si>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</si>
  <si>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</si>
  <si>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</si>
  <si>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</si>
  <si>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</si>
  <si>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</si>
  <si>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</si>
  <si>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</si>
  <si>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</si>
  <si>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</si>
  <si>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</si>
  <si>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</si>
  <si>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</si>
  <si>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</si>
  <si>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</si>
  <si>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</si>
  <si>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</si>
  <si>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</si>
  <si>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</si>
  <si>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</si>
  <si>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</si>
  <si>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</si>
  <si>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</si>
  <si>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</si>
  <si>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</si>
  <si>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</si>
  <si>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</si>
  <si>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</si>
  <si>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</si>
  <si>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</si>
  <si>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</si>
  <si>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</si>
  <si>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</si>
  <si>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</si>
  <si>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</si>
  <si>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</si>
  <si>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</si>
  <si>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</si>
  <si>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</si>
  <si>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</si>
  <si>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</si>
  <si>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</si>
  <si>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</si>
  <si>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</si>
  <si>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</si>
  <si>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</si>
  <si>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</si>
  <si>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</si>
  <si>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</si>
  <si>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</si>
  <si>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</si>
  <si>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</si>
  <si>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</si>
  <si>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</si>
  <si>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</si>
  <si>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</si>
  <si>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</si>
  <si>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</si>
  <si>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</si>
  <si>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</si>
  <si>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</si>
  <si>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</si>
  <si>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</si>
  <si>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</si>
  <si>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</si>
  <si>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</si>
  <si>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</si>
  <si>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</si>
  <si>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</si>
  <si>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</si>
  <si>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</si>
  <si>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</si>
  <si>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</si>
  <si>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</si>
  <si>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</si>
  <si>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</si>
  <si>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</si>
  <si>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</si>
  <si>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</si>
  <si>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</si>
  <si>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</si>
  <si>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</si>
  <si>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</si>
  <si>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</si>
  <si>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</si>
  <si>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</si>
  <si>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</si>
  <si>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</si>
  <si>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</si>
  <si>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</si>
  <si>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</si>
  <si>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</si>
  <si>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</si>
  <si>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</si>
  <si>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</si>
  <si>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</si>
  <si>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</si>
  <si>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</si>
  <si>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</si>
  <si>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</si>
  <si>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</si>
  <si>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</si>
  <si>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</si>
  <si>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</si>
  <si>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</si>
  <si>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</si>
  <si>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</si>
  <si>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</si>
  <si>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</si>
  <si>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</si>
  <si>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</si>
  <si>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</si>
  <si>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</si>
  <si>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</si>
  <si>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</si>
  <si>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</si>
  <si>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</si>
  <si>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</si>
  <si>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</si>
  <si>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</si>
  <si>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</si>
  <si>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</si>
  <si>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</si>
  <si>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</si>
  <si>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</si>
  <si>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</si>
  <si>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</si>
  <si>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</si>
  <si>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</si>
  <si>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</si>
  <si>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</si>
  <si>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</si>
  <si>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</si>
  <si>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</si>
  <si>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</si>
  <si>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</si>
  <si>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</si>
  <si>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</si>
  <si>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</si>
  <si>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</si>
  <si>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</si>
  <si>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</si>
  <si>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</si>
  <si>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</si>
  <si>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</si>
  <si>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</si>
  <si>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</si>
  <si>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</si>
  <si>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</si>
  <si>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</si>
  <si>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</si>
  <si>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</si>
  <si>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</si>
  <si>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</si>
  <si>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</si>
  <si>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</si>
  <si>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</si>
  <si>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</si>
  <si>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</si>
  <si>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</si>
  <si>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</si>
  <si>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</si>
  <si>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</si>
  <si>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</si>
  <si>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</si>
  <si>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</si>
  <si>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</si>
  <si>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</si>
  <si>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</si>
  <si>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</si>
  <si>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</si>
  <si>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</si>
  <si>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</si>
  <si>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</si>
  <si>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</si>
  <si>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</si>
  <si>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</si>
  <si>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</si>
  <si>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</si>
  <si>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</si>
  <si>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</si>
  <si>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</si>
  <si>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</si>
  <si>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</si>
  <si>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</si>
  <si>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</si>
  <si>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</si>
  <si>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</si>
  <si>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</si>
  <si>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</si>
  <si>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</si>
  <si>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</si>
  <si>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</si>
  <si>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</si>
  <si>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</si>
  <si>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</si>
  <si>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</si>
  <si>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</si>
  <si>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</si>
  <si>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</si>
  <si>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</si>
  <si>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</si>
  <si>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</si>
  <si>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</si>
  <si>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</si>
  <si>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</si>
  <si>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</si>
  <si>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</si>
  <si>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</si>
  <si>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</si>
  <si>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</si>
  <si>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</si>
  <si>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</si>
  <si>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</si>
  <si>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</si>
  <si>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</si>
  <si>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</si>
  <si>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</si>
  <si>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</si>
  <si>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</si>
  <si>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</si>
  <si>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</si>
  <si>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</si>
  <si>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</si>
  <si>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</si>
  <si>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</si>
  <si>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</si>
  <si>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</si>
  <si>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</si>
  <si>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</si>
  <si>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</si>
  <si>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</si>
  <si>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</si>
  <si>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</si>
  <si>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</si>
  <si>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</si>
  <si>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</si>
  <si>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</si>
  <si>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</si>
  <si>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</si>
  <si>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</si>
  <si>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</si>
  <si>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</si>
  <si>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</si>
  <si>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</si>
  <si>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</si>
  <si>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</si>
  <si>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</si>
  <si>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</si>
  <si>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</si>
  <si>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</si>
  <si>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</si>
  <si>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</si>
  <si>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</si>
  <si>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</si>
  <si>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</si>
  <si>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</si>
  <si>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</si>
  <si>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</si>
  <si>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</si>
  <si>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</si>
  <si>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</si>
  <si>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</si>
  <si>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</si>
  <si>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</si>
  <si>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</si>
  <si>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</si>
  <si>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</si>
  <si>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</si>
  <si>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</si>
  <si>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</si>
  <si>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</si>
  <si>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</si>
  <si>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</si>
  <si>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</si>
  <si>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</si>
  <si>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</si>
  <si>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</si>
  <si>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</si>
  <si>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</si>
  <si>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</si>
  <si>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</si>
  <si>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</si>
  <si>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</si>
  <si>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</si>
  <si>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</si>
  <si>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</si>
  <si>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</si>
  <si>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</si>
  <si>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</si>
  <si>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</si>
  <si>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</si>
  <si>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</si>
  <si>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</si>
  <si>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</si>
  <si>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</si>
  <si>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</si>
  <si>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</si>
  <si>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</si>
  <si>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</si>
  <si>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</si>
  <si>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</si>
  <si>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</si>
  <si>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</si>
  <si>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</si>
  <si>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</si>
  <si>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</si>
  <si>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</si>
  <si>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</si>
  <si>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</si>
  <si>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</si>
  <si>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</si>
  <si>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</si>
  <si>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</si>
  <si>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</si>
  <si>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</si>
  <si>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</si>
  <si>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</si>
  <si>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</si>
  <si>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</si>
  <si>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</si>
  <si>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</si>
  <si>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</si>
  <si>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</si>
  <si>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</si>
  <si>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</si>
  <si>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</si>
  <si>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</si>
  <si>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</si>
  <si>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</si>
  <si>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</si>
  <si>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</si>
  <si>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</si>
  <si>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</si>
  <si>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</si>
  <si>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</si>
  <si>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</si>
  <si>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</si>
  <si>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</si>
  <si>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</si>
  <si>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</si>
  <si>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</si>
  <si>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</si>
  <si>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</si>
  <si>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</si>
  <si>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</si>
  <si>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</si>
  <si>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</si>
  <si>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</si>
  <si>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</si>
  <si>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</si>
  <si>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</si>
  <si>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</si>
  <si>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</si>
  <si>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</si>
  <si>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</si>
  <si>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</si>
  <si>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</si>
  <si>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</si>
  <si>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</si>
  <si>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</si>
  <si>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</si>
  <si>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</si>
  <si>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</si>
  <si>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</si>
  <si>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</si>
  <si>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</si>
  <si>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</si>
  <si>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</si>
  <si>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</si>
  <si>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</si>
  <si>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</si>
  <si>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</si>
  <si>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</si>
  <si>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</si>
  <si>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</si>
  <si>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</si>
  <si>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</si>
  <si>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</si>
  <si>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</si>
  <si>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</si>
  <si>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</si>
  <si>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</si>
  <si>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</si>
  <si>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</si>
  <si>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</si>
  <si>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</si>
  <si>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</si>
  <si>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</si>
  <si>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</si>
  <si>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</si>
  <si>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</si>
  <si>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</si>
  <si>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</si>
  <si>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</si>
  <si>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</si>
  <si>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</si>
  <si>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</si>
  <si>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</si>
  <si>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</si>
  <si>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</si>
  <si>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</si>
  <si>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</si>
  <si>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</si>
  <si>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</si>
  <si>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</si>
  <si>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</si>
  <si>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</si>
  <si>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</si>
  <si>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</si>
  <si>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</si>
  <si>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</si>
  <si>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</si>
  <si>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</si>
  <si>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</si>
  <si>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</si>
  <si>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</si>
  <si>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</si>
  <si>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</si>
  <si>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</si>
  <si>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</si>
  <si>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</si>
  <si>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</si>
  <si>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</si>
  <si>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</si>
  <si>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</si>
  <si>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</si>
  <si>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</si>
  <si>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</si>
  <si>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</si>
  <si>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</si>
  <si>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</si>
  <si>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</si>
  <si>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</si>
  <si>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</si>
  <si>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</si>
  <si>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</si>
  <si>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</si>
  <si>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</si>
  <si>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</si>
  <si>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</si>
  <si>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</si>
  <si>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</si>
  <si>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</si>
  <si>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</si>
  <si>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</si>
  <si>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</si>
  <si>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</si>
  <si>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</si>
  <si>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</si>
  <si>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</si>
  <si>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</si>
  <si>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</si>
  <si>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</si>
  <si>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</si>
  <si>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</si>
  <si>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</si>
  <si>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</si>
  <si>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</si>
  <si>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</si>
  <si>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</si>
  <si>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</si>
  <si>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</si>
  <si>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</si>
  <si>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</si>
  <si>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</si>
  <si>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</si>
  <si>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</si>
  <si>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</si>
  <si>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</si>
  <si>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</si>
  <si>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</si>
  <si>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</si>
  <si>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</si>
  <si>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</si>
  <si>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</si>
  <si>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</si>
  <si>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</si>
  <si>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</si>
  <si>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</si>
  <si>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</si>
  <si>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</si>
  <si>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</si>
  <si>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</si>
  <si>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</si>
  <si>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</si>
  <si>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</si>
  <si>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</si>
  <si>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</si>
  <si>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</si>
  <si>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</si>
  <si>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</si>
  <si>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</si>
  <si>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</si>
  <si>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</si>
  <si>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</si>
  <si>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</si>
  <si>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</si>
  <si>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</si>
  <si>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</si>
  <si>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</si>
  <si>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</si>
  <si>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</si>
  <si>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</si>
  <si>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</si>
  <si>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</si>
  <si>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</si>
  <si>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</si>
  <si>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</si>
  <si>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</si>
  <si>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</si>
  <si>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</si>
  <si>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</si>
  <si>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</si>
  <si>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</si>
  <si>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</si>
  <si>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</si>
  <si>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</si>
  <si>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</si>
  <si>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</si>
  <si>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</si>
  <si>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</si>
  <si>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</si>
  <si>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</si>
  <si>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</si>
  <si>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</si>
  <si>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</si>
  <si>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</si>
  <si>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</si>
  <si>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</si>
  <si>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</si>
  <si>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</si>
  <si>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</si>
  <si>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</si>
  <si>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</si>
  <si>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</si>
  <si>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</si>
  <si>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</si>
  <si>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</si>
  <si>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</si>
  <si>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</si>
  <si>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</si>
  <si>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</si>
  <si>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</si>
  <si>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</si>
  <si>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</si>
  <si>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</si>
  <si>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</si>
  <si>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</si>
  <si>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</si>
  <si>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</si>
  <si>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</si>
  <si>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</si>
  <si>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</si>
  <si>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</si>
  <si>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</si>
  <si>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</si>
  <si>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</si>
  <si>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</si>
  <si>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</si>
  <si>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</si>
  <si>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</si>
  <si>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</si>
  <si>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</si>
  <si>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</si>
  <si>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</si>
  <si>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</si>
  <si>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</si>
  <si>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</si>
  <si>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</si>
  <si>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</si>
  <si>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</si>
  <si>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</si>
  <si>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</si>
  <si>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</si>
  <si>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</si>
  <si>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</si>
  <si>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</si>
  <si>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</si>
  <si>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</si>
  <si>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</si>
  <si>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</si>
  <si>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</si>
  <si>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</si>
  <si>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</si>
  <si>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</si>
  <si>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</si>
  <si>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</si>
  <si>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</si>
  <si>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</si>
  <si>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</si>
  <si>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</si>
  <si>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</si>
  <si>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</si>
  <si>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</si>
  <si>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</si>
  <si>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</si>
  <si>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</si>
  <si>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</si>
  <si>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</si>
  <si>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</si>
  <si>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</si>
  <si>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</si>
  <si>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프로젝트 종료</t>
  </si>
  <si>
    <t>종료보고</t>
  </si>
  <si>
    <t>검수 및 종료</t>
  </si>
  <si>
    <t>시스템 개발</t>
  </si>
  <si>
    <t>2.1.1</t>
  </si>
  <si>
    <t>요구사항정의</t>
  </si>
  <si>
    <t>2.1.2</t>
  </si>
  <si>
    <t>2.1.2.1</t>
  </si>
  <si>
    <t>2.1.2.2</t>
  </si>
  <si>
    <t>2.2.1</t>
  </si>
  <si>
    <t>시스템 설계</t>
  </si>
  <si>
    <t>데이터베이스설계</t>
  </si>
  <si>
    <t>2.3.1</t>
  </si>
  <si>
    <t>2.3.1.1</t>
  </si>
  <si>
    <t>2.3.1.2</t>
  </si>
  <si>
    <t>2.3.1.2.1</t>
  </si>
  <si>
    <t>2.3.1.2.2</t>
  </si>
  <si>
    <t>2.3.1.2.3</t>
  </si>
  <si>
    <t>2.3.2</t>
  </si>
  <si>
    <t>테스트실시</t>
  </si>
  <si>
    <t>2.3.2.1</t>
  </si>
  <si>
    <t>통합테스트실시</t>
  </si>
  <si>
    <t>2.3.2.2</t>
  </si>
  <si>
    <t>Conversion 및 Release</t>
  </si>
  <si>
    <t>데이터베이스구축</t>
  </si>
  <si>
    <t>2.1</t>
  </si>
  <si>
    <t>2.2</t>
  </si>
  <si>
    <t>2.3</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</si>
  <si>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</si>
  <si>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</si>
  <si>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</si>
  <si>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</si>
  <si>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2022년 어린이날</t>
    <phoneticPr fontId="2" type="noConversion"/>
  </si>
  <si>
    <t>자체 휴강</t>
    <phoneticPr fontId="2" type="noConversion"/>
  </si>
  <si>
    <t>빅데이터 세미프로젝트1</t>
    <phoneticPr fontId="2" type="noConversion"/>
  </si>
  <si>
    <t>파워포인트</t>
    <phoneticPr fontId="4" type="noConversion"/>
  </si>
  <si>
    <t>자동지정</t>
    <phoneticPr fontId="4" type="noConversion"/>
  </si>
  <si>
    <t>워드</t>
    <phoneticPr fontId="4" type="noConversion"/>
  </si>
  <si>
    <t>엑셀</t>
    <phoneticPr fontId="4" type="noConversion"/>
  </si>
  <si>
    <t>연극 및 공연 데이터 수집</t>
  </si>
  <si>
    <t>중간점검</t>
  </si>
  <si>
    <t>데이터 조사</t>
  </si>
  <si>
    <t>모듈 출시</t>
  </si>
  <si>
    <t>G</t>
  </si>
  <si>
    <t>영화 평점 및 긍부정 데이터 수집</t>
  </si>
  <si>
    <t>프로그램 구현</t>
  </si>
  <si>
    <t>프로젝트 진척율 - 일정변경 관리하지 않을때</t>
    <phoneticPr fontId="4" type="noConversion"/>
  </si>
  <si>
    <t>2.2.1.1</t>
  </si>
  <si>
    <t>2.2.1.2</t>
  </si>
  <si>
    <t>영화선택 기능 구현</t>
  </si>
  <si>
    <t>공연 추천</t>
  </si>
  <si>
    <t>선택 영화 입력</t>
  </si>
  <si>
    <t>뮤지컬 추천</t>
  </si>
  <si>
    <t>모듈 안정화</t>
  </si>
  <si>
    <t>모듈설계</t>
  </si>
  <si>
    <t>개발 및 구현</t>
  </si>
  <si>
    <t>2.3.3</t>
  </si>
  <si>
    <t>2.3.3.1</t>
  </si>
  <si>
    <t>2.3.3.2</t>
  </si>
  <si>
    <t>권기일</t>
  </si>
  <si>
    <t>권기일, 원동찬</t>
  </si>
  <si>
    <t>권기일, 원동찬, 신재웅, 송민성, 김민중</t>
  </si>
  <si>
    <t>원동찬</t>
  </si>
  <si>
    <t>원동찬, 권기일</t>
  </si>
  <si>
    <t>신재웅, 원동찬</t>
  </si>
  <si>
    <t>원동찬, 신재웅, 송민성, 김민중</t>
  </si>
  <si>
    <t>데이터 파일</t>
  </si>
  <si>
    <t>명세서</t>
  </si>
  <si>
    <t>결과 ppt</t>
  </si>
  <si>
    <t>체크리스트</t>
  </si>
  <si>
    <t>최종 모듈</t>
  </si>
  <si>
    <t>W2</t>
  </si>
  <si>
    <t>W3</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</si>
  <si>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</si>
  <si>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신재웅</t>
  </si>
  <si>
    <t>송민성</t>
  </si>
  <si>
    <t>김민중</t>
  </si>
  <si>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</si>
  <si>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</si>
  <si>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</si>
  <si>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</si>
  <si>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</si>
  <si>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</si>
  <si>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</si>
  <si>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</si>
  <si>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</si>
  <si>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</si>
  <si>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</si>
  <si>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</si>
  <si>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</si>
  <si>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05/01  W19</t>
  </si>
  <si>
    <t>05/08  W20</t>
  </si>
  <si>
    <t>05/15  W21</t>
  </si>
  <si>
    <t>프로젝트 주제 선정</t>
  </si>
  <si>
    <t>DB</t>
  </si>
  <si>
    <t>DB 가이드 문서</t>
  </si>
  <si>
    <t>시스템 기획서</t>
  </si>
  <si>
    <t>한국 30년 간 기후 데이터 수집</t>
  </si>
  <si>
    <t>작물의 생장 조건 데이터 수집</t>
  </si>
  <si>
    <t>역대 한국 기후 학습 모듈 만들기</t>
  </si>
  <si>
    <t>미래의 한국 기후 예측 모듈 구현</t>
  </si>
  <si>
    <t>학습 모델 기획</t>
  </si>
  <si>
    <t>플라스크 사용 여부 결정</t>
  </si>
  <si>
    <t>프로젝트 기획서 작성</t>
  </si>
  <si>
    <t>1.1.2.1.1</t>
  </si>
  <si>
    <t>데이터 전처리</t>
  </si>
  <si>
    <t>작물 가격 데이터 수집</t>
  </si>
  <si>
    <t>데이터 수집</t>
  </si>
  <si>
    <t>플라스크 서버 구축</t>
  </si>
  <si>
    <t>2.3.1.3</t>
  </si>
  <si>
    <t>플라스크 서버 테스트</t>
  </si>
  <si>
    <t>2.3.2.3</t>
  </si>
  <si>
    <t>플라스크 서버 안정화 공정</t>
  </si>
  <si>
    <t>한국 기후 데이터 전처리</t>
  </si>
  <si>
    <t>작물 관련 데이터 전처리</t>
  </si>
  <si>
    <t>전처리 형식 검토</t>
  </si>
  <si>
    <t>작물 가격 데이터 전처리</t>
  </si>
  <si>
    <t>기획안 발표 준비</t>
  </si>
  <si>
    <t>권기일, 원동찬, 송민성, 김민중</t>
  </si>
  <si>
    <t>1.1.2.1.2</t>
  </si>
  <si>
    <t>1.3.3</t>
  </si>
  <si>
    <t>프로젝트 최종 발표 준비</t>
  </si>
  <si>
    <t>2.2.2</t>
  </si>
  <si>
    <t>2.2.2.1</t>
  </si>
  <si>
    <t>2.2.2.2</t>
  </si>
  <si>
    <t>2.2.2.3</t>
  </si>
  <si>
    <t>2.2.1.3</t>
  </si>
  <si>
    <t>2.2.2.4</t>
  </si>
  <si>
    <t>2.4</t>
  </si>
  <si>
    <t>2.4.1</t>
  </si>
  <si>
    <t>2.4.1.1</t>
  </si>
  <si>
    <t>2.4.1.2</t>
  </si>
  <si>
    <t>2.4.1.3</t>
  </si>
  <si>
    <t>2.4.1.4</t>
  </si>
  <si>
    <t>2.4.2</t>
  </si>
  <si>
    <t>2.4.2.1</t>
  </si>
  <si>
    <t>2.4.2.2</t>
  </si>
  <si>
    <t>2.4.2.3</t>
  </si>
  <si>
    <t>2.4.3</t>
  </si>
  <si>
    <t>2.4.3.1</t>
  </si>
  <si>
    <t>2.4.3.2</t>
  </si>
  <si>
    <t>평가 모듈 구현</t>
  </si>
  <si>
    <t>학습 모델 구현</t>
  </si>
  <si>
    <t>평가 모듈 기획</t>
  </si>
  <si>
    <t>05/22  W22</t>
  </si>
  <si>
    <t>W4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</si>
</sst>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d"/>
  </numFmts>
  <fonts count="5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8"/>
      <color rgb="FFFFFFFF"/>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7" fillId="0" borderId="0" applyFont="0" applyFill="0" applyBorder="0" applyAlignment="0" applyProtection="0">
      <alignment vertical="center"/>
    </xf>
  </cellStyleXfs>
  <cellXfs count="291">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21" borderId="30" xfId="6" applyNumberFormat="1" applyFont="1" applyFill="1" applyBorder="1" applyAlignment="1" applyProtection="1">
      <alignment horizontal="right" vertical="top"/>
      <protection locked="0"/>
    </xf>
    <xf numFmtId="10" fontId="48"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8" fillId="22" borderId="30" xfId="6" applyNumberFormat="1" applyFont="1" applyFill="1" applyBorder="1" applyAlignment="1" applyProtection="1">
      <alignment horizontal="right" vertical="top"/>
      <protection locked="0"/>
    </xf>
    <xf numFmtId="10" fontId="23" fillId="17" borderId="30" xfId="6" applyNumberFormat="1" applyFont="1" applyFill="1" applyBorder="1" applyAlignment="1" applyProtection="1">
      <alignment horizontal="right" vertical="top"/>
      <protection locked="0"/>
    </xf>
    <xf numFmtId="10" fontId="48" fillId="17" borderId="30" xfId="6" applyNumberFormat="1" applyFont="1" applyFill="1" applyBorder="1" applyAlignment="1" applyProtection="1">
      <alignment horizontal="right" vertical="top"/>
      <protection locked="0"/>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0" fontId="9" fillId="0" borderId="10" xfId="4" applyNumberFormat="1" applyFont="1" applyBorder="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9" fillId="0" borderId="31" xfId="4" applyNumberFormat="1" applyFont="1" applyBorder="1"/>
    <xf numFmtId="180" fontId="51" fillId="19" borderId="19" xfId="4" applyNumberFormat="1" applyFont="1" applyFill="1" applyBorder="1" applyAlignment="1" applyProtection="1">
      <alignment horizontal="center" vertical="center"/>
    </xf>
    <xf numFmtId="180" fontId="51" fillId="19" borderId="20" xfId="4" applyNumberFormat="1" applyFont="1" applyFill="1" applyBorder="1" applyAlignment="1" applyProtection="1">
      <alignment horizontal="center" vertical="center"/>
    </xf>
    <xf numFmtId="180" fontId="51" fillId="19" borderId="21" xfId="4" applyNumberFormat="1" applyFont="1" applyFill="1" applyBorder="1" applyAlignment="1" applyProtection="1">
      <alignment horizontal="center" vertical="center"/>
    </xf>
    <xf numFmtId="0" fontId="23" fillId="0" borderId="30" xfId="4" applyFont="1" applyFill="1" applyBorder="1" applyAlignment="1" applyProtection="1">
      <alignment horizontal="left" vertical="center"/>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19"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AnalysisReport!$C$7:$C$9</c:f>
              <c:numCache>
                <c:formatCode>m/d/yyyy</c:formatCode>
                <c:ptCount val="3"/>
                <c:pt idx="0">
                  <c:v>44688</c:v>
                </c:pt>
                <c:pt idx="1">
                  <c:v>44695</c:v>
                </c:pt>
                <c:pt idx="2">
                  <c:v>44702</c:v>
                </c:pt>
              </c:numCache>
            </c:numRef>
          </c:cat>
          <c:val>
            <c:numRef>
              <c:f>AnalysisReport!$F$7:$F$9</c:f>
              <c:numCache>
                <c:formatCode>0.00%</c:formatCode>
                <c:ptCount val="3"/>
                <c:pt idx="0">
                  <c:v>0.49714285714285716</c:v>
                </c:pt>
                <c:pt idx="1">
                  <c:v>0.77142857142857146</c:v>
                </c:pt>
                <c:pt idx="2">
                  <c:v>1</c:v>
                </c:pt>
              </c:numCache>
            </c:numRef>
          </c:val>
          <c:smooth val="0"/>
          <c:extLst>
            <c:ext xmlns:c16="http://schemas.microsoft.com/office/drawing/2014/chart" uri="{C3380CC4-5D6E-409C-BE32-E72D297353CC}">
              <c16:uniqueId val="{00000000-EAF3-4A65-A6C9-FD0B0FF0D9AE}"/>
            </c:ext>
          </c:extLst>
        </c:ser>
        <c:ser>
          <c:idx val="1"/>
          <c:order val="1"/>
          <c:tx>
            <c:strRef>
              <c:f>AnalysisReport!$I$6</c:f>
              <c:strCache>
                <c:ptCount val="1"/>
                <c:pt idx="0">
                  <c:v>실적기성 진척율</c:v>
                </c:pt>
              </c:strCache>
            </c:strRef>
          </c:tx>
          <c:cat>
            <c:numRef>
              <c:f>AnalysisReport!$C$7:$C$9</c:f>
              <c:numCache>
                <c:formatCode>m/d/yyyy</c:formatCode>
                <c:ptCount val="3"/>
                <c:pt idx="0">
                  <c:v>44688</c:v>
                </c:pt>
                <c:pt idx="1">
                  <c:v>44695</c:v>
                </c:pt>
                <c:pt idx="2">
                  <c:v>44702</c:v>
                </c:pt>
              </c:numCache>
            </c:numRef>
          </c:cat>
          <c:val>
            <c:numRef>
              <c:f>AnalysisReport!$I$7:$I$9</c:f>
              <c:numCache>
                <c:formatCode>General</c:formatCode>
                <c:ptCount val="3"/>
                <c:pt idx="0" formatCode="0.00%">
                  <c:v>0.28114285714285714</c:v>
                </c:pt>
              </c:numCache>
            </c:numRef>
          </c:val>
          <c:smooth val="0"/>
          <c:extLst>
            <c:ext xmlns:c16="http://schemas.microsoft.com/office/drawing/2014/chart" uri="{C3380CC4-5D6E-409C-BE32-E72D297353CC}">
              <c16:uniqueId val="{00000001-EAF3-4A65-A6C9-FD0B0FF0D9AE}"/>
            </c:ext>
          </c:extLst>
        </c:ser>
        <c:ser>
          <c:idx val="2"/>
          <c:order val="2"/>
          <c:tx>
            <c:strRef>
              <c:f>AnalysisReport!$L$6</c:f>
              <c:strCache>
                <c:ptCount val="1"/>
                <c:pt idx="0">
                  <c:v>실제작업량 진척율</c:v>
                </c:pt>
              </c:strCache>
            </c:strRef>
          </c:tx>
          <c:cat>
            <c:numRef>
              <c:f>AnalysisReport!$C$7:$C$9</c:f>
              <c:numCache>
                <c:formatCode>m/d/yyyy</c:formatCode>
                <c:ptCount val="3"/>
                <c:pt idx="0">
                  <c:v>44688</c:v>
                </c:pt>
                <c:pt idx="1">
                  <c:v>44695</c:v>
                </c:pt>
                <c:pt idx="2">
                  <c:v>44702</c:v>
                </c:pt>
              </c:numCache>
            </c:numRef>
          </c:cat>
          <c:val>
            <c:numRef>
              <c:f>AnalysisReport!$L$7:$L$9</c:f>
              <c:numCache>
                <c:formatCode>General</c:formatCode>
                <c:ptCount val="3"/>
                <c:pt idx="0" formatCode="0.00%">
                  <c:v>0</c:v>
                </c:pt>
              </c:numCache>
            </c:numRef>
          </c:val>
          <c:smooth val="0"/>
          <c:extLst>
            <c:ext xmlns:c16="http://schemas.microsoft.com/office/drawing/2014/chart" uri="{C3380CC4-5D6E-409C-BE32-E72D297353CC}">
              <c16:uniqueId val="{00000002-EAF3-4A65-A6C9-FD0B0FF0D9AE}"/>
            </c:ext>
          </c:extLst>
        </c:ser>
        <c:dLbls>
          <c:showLegendKey val="0"/>
          <c:showVal val="0"/>
          <c:showCatName val="0"/>
          <c:showSerName val="0"/>
          <c:showPercent val="0"/>
          <c:showBubbleSize val="0"/>
        </c:dLbls>
        <c:marker val="1"/>
        <c:smooth val="0"/>
        <c:axId val="441033896"/>
        <c:axId val="441039144"/>
      </c:lineChart>
      <c:dateAx>
        <c:axId val="44103389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41039144"/>
        <c:crosses val="autoZero"/>
        <c:auto val="1"/>
        <c:lblOffset val="100"/>
        <c:baseTimeUnit val="days"/>
      </c:dateAx>
      <c:valAx>
        <c:axId val="441039144"/>
        <c:scaling>
          <c:orientation val="minMax"/>
        </c:scaling>
        <c:delete val="0"/>
        <c:axPos val="l"/>
        <c:majorGridlines/>
        <c:numFmt formatCode="0.00%" sourceLinked="1"/>
        <c:majorTickMark val="out"/>
        <c:minorTickMark val="none"/>
        <c:tickLblPos val="nextTo"/>
        <c:crossAx val="4410338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126873</xdr:rowOff>
    </xdr:from>
    <xdr:to>
      <xdr:col>59</xdr:col>
      <xdr:colOff>0</xdr:colOff>
      <xdr:row>53</xdr:row>
      <xdr:rowOff>0</xdr:rowOff>
    </xdr:to>
    <xdr:cxnSp macro="">
      <xdr:nvCxnSpPr>
        <xdr:cNvPr id="25169" name="직선 화살표 연결선 25168">
          <a:extLst>
            <a:ext uri="{FF2B5EF4-FFF2-40B4-BE49-F238E27FC236}">
              <a16:creationId xmlns:a16="http://schemas.microsoft.com/office/drawing/2014/main" id="{B2EC0516-84F0-1587-BD3A-95B6CC51FB39}"/>
            </a:ext>
          </a:extLst>
        </xdr:cNvPr>
        <xdr:cNvCxnSpPr/>
      </xdr:nvCxnSpPr>
      <xdr:spPr>
        <a:xfrm>
          <a:off x="32245300" y="761873"/>
          <a:ext cx="0" cy="7467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xdr:row>
      <xdr:rowOff>126873</xdr:rowOff>
    </xdr:from>
    <xdr:to>
      <xdr:col>37</xdr:col>
      <xdr:colOff>0</xdr:colOff>
      <xdr:row>53</xdr:row>
      <xdr:rowOff>0</xdr:rowOff>
    </xdr:to>
    <xdr:cxnSp macro="">
      <xdr:nvCxnSpPr>
        <xdr:cNvPr id="25170" name="직선 화살표 연결선 25169">
          <a:extLst>
            <a:ext uri="{FF2B5EF4-FFF2-40B4-BE49-F238E27FC236}">
              <a16:creationId xmlns:a16="http://schemas.microsoft.com/office/drawing/2014/main" id="{20562BFD-D96C-AEFB-9E88-29AB9CFE03E8}"/>
            </a:ext>
          </a:extLst>
        </xdr:cNvPr>
        <xdr:cNvCxnSpPr/>
      </xdr:nvCxnSpPr>
      <xdr:spPr>
        <a:xfrm>
          <a:off x="11252200" y="761873"/>
          <a:ext cx="0" cy="7467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52</xdr:row>
      <xdr:rowOff>19050</xdr:rowOff>
    </xdr:from>
    <xdr:to>
      <xdr:col>51</xdr:col>
      <xdr:colOff>12700</xdr:colOff>
      <xdr:row>52</xdr:row>
      <xdr:rowOff>146050</xdr:rowOff>
    </xdr:to>
    <xdr:sp macro="" textlink="">
      <xdr:nvSpPr>
        <xdr:cNvPr id="25171" name="다이아몬드 25170">
          <a:extLst>
            <a:ext uri="{FF2B5EF4-FFF2-40B4-BE49-F238E27FC236}">
              <a16:creationId xmlns:a16="http://schemas.microsoft.com/office/drawing/2014/main" id="{277839E7-3077-FBB1-C47B-01C750E7486D}"/>
            </a:ext>
          </a:extLst>
        </xdr:cNvPr>
        <xdr:cNvSpPr/>
      </xdr:nvSpPr>
      <xdr:spPr>
        <a:xfrm>
          <a:off x="11938000" y="80962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51</xdr:row>
      <xdr:rowOff>19050</xdr:rowOff>
    </xdr:from>
    <xdr:to>
      <xdr:col>54</xdr:col>
      <xdr:colOff>1270</xdr:colOff>
      <xdr:row>51</xdr:row>
      <xdr:rowOff>133350</xdr:rowOff>
    </xdr:to>
    <xdr:sp macro="" textlink="">
      <xdr:nvSpPr>
        <xdr:cNvPr id="25172" name="48">
          <a:extLst>
            <a:ext uri="{FF2B5EF4-FFF2-40B4-BE49-F238E27FC236}">
              <a16:creationId xmlns:a16="http://schemas.microsoft.com/office/drawing/2014/main" id="{41BBDEB2-214B-2BB2-134D-D97560E85F52}"/>
            </a:ext>
          </a:extLst>
        </xdr:cNvPr>
        <xdr:cNvSpPr/>
      </xdr:nvSpPr>
      <xdr:spPr>
        <a:xfrm>
          <a:off x="11195050" y="7943850"/>
          <a:ext cx="1029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51</xdr:row>
      <xdr:rowOff>76200</xdr:rowOff>
    </xdr:from>
    <xdr:to>
      <xdr:col>36</xdr:col>
      <xdr:colOff>0</xdr:colOff>
      <xdr:row>51</xdr:row>
      <xdr:rowOff>76200</xdr:rowOff>
    </xdr:to>
    <xdr:cxnSp macro="">
      <xdr:nvCxnSpPr>
        <xdr:cNvPr id="25173" name="직선 화살표 연결선 25172">
          <a:extLst>
            <a:ext uri="{FF2B5EF4-FFF2-40B4-BE49-F238E27FC236}">
              <a16:creationId xmlns:a16="http://schemas.microsoft.com/office/drawing/2014/main" id="{269B6AE8-B8E3-447A-F471-424B003EF836}"/>
            </a:ext>
          </a:extLst>
        </xdr:cNvPr>
        <xdr:cNvCxnSpPr/>
      </xdr:nvCxnSpPr>
      <xdr:spPr>
        <a:xfrm>
          <a:off x="11195050" y="8001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50</xdr:row>
      <xdr:rowOff>19050</xdr:rowOff>
    </xdr:from>
    <xdr:to>
      <xdr:col>55</xdr:col>
      <xdr:colOff>1270</xdr:colOff>
      <xdr:row>50</xdr:row>
      <xdr:rowOff>133350</xdr:rowOff>
    </xdr:to>
    <xdr:sp macro="" textlink="">
      <xdr:nvSpPr>
        <xdr:cNvPr id="25174" name="47">
          <a:extLst>
            <a:ext uri="{FF2B5EF4-FFF2-40B4-BE49-F238E27FC236}">
              <a16:creationId xmlns:a16="http://schemas.microsoft.com/office/drawing/2014/main" id="{B94365DB-B616-FFD4-9481-9F8C7D20E6FC}"/>
            </a:ext>
          </a:extLst>
        </xdr:cNvPr>
        <xdr:cNvSpPr/>
      </xdr:nvSpPr>
      <xdr:spPr>
        <a:xfrm>
          <a:off x="11195050" y="7791450"/>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50</xdr:row>
      <xdr:rowOff>76200</xdr:rowOff>
    </xdr:from>
    <xdr:to>
      <xdr:col>36</xdr:col>
      <xdr:colOff>0</xdr:colOff>
      <xdr:row>50</xdr:row>
      <xdr:rowOff>76200</xdr:rowOff>
    </xdr:to>
    <xdr:cxnSp macro="">
      <xdr:nvCxnSpPr>
        <xdr:cNvPr id="25175" name="직선 화살표 연결선 25174">
          <a:extLst>
            <a:ext uri="{FF2B5EF4-FFF2-40B4-BE49-F238E27FC236}">
              <a16:creationId xmlns:a16="http://schemas.microsoft.com/office/drawing/2014/main" id="{1C01B3A7-DC68-C05E-6659-874D068F87DB}"/>
            </a:ext>
          </a:extLst>
        </xdr:cNvPr>
        <xdr:cNvCxnSpPr/>
      </xdr:nvCxnSpPr>
      <xdr:spPr>
        <a:xfrm>
          <a:off x="11195050" y="784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49</xdr:row>
      <xdr:rowOff>19050</xdr:rowOff>
    </xdr:from>
    <xdr:to>
      <xdr:col>52</xdr:col>
      <xdr:colOff>1270</xdr:colOff>
      <xdr:row>49</xdr:row>
      <xdr:rowOff>133350</xdr:rowOff>
    </xdr:to>
    <xdr:sp macro="" textlink="">
      <xdr:nvSpPr>
        <xdr:cNvPr id="25176" name="46">
          <a:extLst>
            <a:ext uri="{FF2B5EF4-FFF2-40B4-BE49-F238E27FC236}">
              <a16:creationId xmlns:a16="http://schemas.microsoft.com/office/drawing/2014/main" id="{8EDDB2F2-CF4D-C130-AE25-0039846E12B2}"/>
            </a:ext>
          </a:extLst>
        </xdr:cNvPr>
        <xdr:cNvSpPr/>
      </xdr:nvSpPr>
      <xdr:spPr>
        <a:xfrm>
          <a:off x="11880850" y="76390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49</xdr:row>
      <xdr:rowOff>76200</xdr:rowOff>
    </xdr:from>
    <xdr:to>
      <xdr:col>48</xdr:col>
      <xdr:colOff>0</xdr:colOff>
      <xdr:row>49</xdr:row>
      <xdr:rowOff>76200</xdr:rowOff>
    </xdr:to>
    <xdr:cxnSp macro="">
      <xdr:nvCxnSpPr>
        <xdr:cNvPr id="25177" name="직선 화살표 연결선 25176">
          <a:extLst>
            <a:ext uri="{FF2B5EF4-FFF2-40B4-BE49-F238E27FC236}">
              <a16:creationId xmlns:a16="http://schemas.microsoft.com/office/drawing/2014/main" id="{916FAA5A-E53D-7643-3728-C61C928B4D1E}"/>
            </a:ext>
          </a:extLst>
        </xdr:cNvPr>
        <xdr:cNvCxnSpPr/>
      </xdr:nvCxnSpPr>
      <xdr:spPr>
        <a:xfrm>
          <a:off x="11880850"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48</xdr:row>
      <xdr:rowOff>19050</xdr:rowOff>
    </xdr:from>
    <xdr:to>
      <xdr:col>50</xdr:col>
      <xdr:colOff>12700</xdr:colOff>
      <xdr:row>48</xdr:row>
      <xdr:rowOff>146050</xdr:rowOff>
    </xdr:to>
    <xdr:sp macro="" textlink="">
      <xdr:nvSpPr>
        <xdr:cNvPr id="25178" name="다이아몬드 25177">
          <a:extLst>
            <a:ext uri="{FF2B5EF4-FFF2-40B4-BE49-F238E27FC236}">
              <a16:creationId xmlns:a16="http://schemas.microsoft.com/office/drawing/2014/main" id="{FBA76A18-8E97-A4E0-22FC-86F0ADC9A0BD}"/>
            </a:ext>
          </a:extLst>
        </xdr:cNvPr>
        <xdr:cNvSpPr/>
      </xdr:nvSpPr>
      <xdr:spPr>
        <a:xfrm>
          <a:off x="11880850" y="74866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47</xdr:row>
      <xdr:rowOff>19050</xdr:rowOff>
    </xdr:from>
    <xdr:to>
      <xdr:col>50</xdr:col>
      <xdr:colOff>1270</xdr:colOff>
      <xdr:row>47</xdr:row>
      <xdr:rowOff>133350</xdr:rowOff>
    </xdr:to>
    <xdr:sp macro="" textlink="">
      <xdr:nvSpPr>
        <xdr:cNvPr id="25179" name="44">
          <a:extLst>
            <a:ext uri="{FF2B5EF4-FFF2-40B4-BE49-F238E27FC236}">
              <a16:creationId xmlns:a16="http://schemas.microsoft.com/office/drawing/2014/main" id="{A8CABE93-6D63-FD92-54E2-3842D142BABE}"/>
            </a:ext>
          </a:extLst>
        </xdr:cNvPr>
        <xdr:cNvSpPr/>
      </xdr:nvSpPr>
      <xdr:spPr>
        <a:xfrm>
          <a:off x="11595100" y="73342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47</xdr:row>
      <xdr:rowOff>76200</xdr:rowOff>
    </xdr:from>
    <xdr:to>
      <xdr:col>43</xdr:col>
      <xdr:colOff>0</xdr:colOff>
      <xdr:row>47</xdr:row>
      <xdr:rowOff>76200</xdr:rowOff>
    </xdr:to>
    <xdr:cxnSp macro="">
      <xdr:nvCxnSpPr>
        <xdr:cNvPr id="25180" name="직선 화살표 연결선 25179">
          <a:extLst>
            <a:ext uri="{FF2B5EF4-FFF2-40B4-BE49-F238E27FC236}">
              <a16:creationId xmlns:a16="http://schemas.microsoft.com/office/drawing/2014/main" id="{3DC26EB6-5259-9116-A178-11692AF551F9}"/>
            </a:ext>
          </a:extLst>
        </xdr:cNvPr>
        <xdr:cNvCxnSpPr/>
      </xdr:nvCxnSpPr>
      <xdr:spPr>
        <a:xfrm>
          <a:off x="11595100" y="7391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46</xdr:row>
      <xdr:rowOff>19050</xdr:rowOff>
    </xdr:from>
    <xdr:to>
      <xdr:col>52</xdr:col>
      <xdr:colOff>1270</xdr:colOff>
      <xdr:row>46</xdr:row>
      <xdr:rowOff>133350</xdr:rowOff>
    </xdr:to>
    <xdr:sp macro="" textlink="">
      <xdr:nvSpPr>
        <xdr:cNvPr id="25181" name="43">
          <a:extLst>
            <a:ext uri="{FF2B5EF4-FFF2-40B4-BE49-F238E27FC236}">
              <a16:creationId xmlns:a16="http://schemas.microsoft.com/office/drawing/2014/main" id="{2E1EA449-BDEF-43FB-2034-D9788ED4369D}"/>
            </a:ext>
          </a:extLst>
        </xdr:cNvPr>
        <xdr:cNvSpPr/>
      </xdr:nvSpPr>
      <xdr:spPr>
        <a:xfrm>
          <a:off x="11595100" y="7181850"/>
          <a:ext cx="515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46</xdr:row>
      <xdr:rowOff>76200</xdr:rowOff>
    </xdr:from>
    <xdr:to>
      <xdr:col>43</xdr:col>
      <xdr:colOff>0</xdr:colOff>
      <xdr:row>46</xdr:row>
      <xdr:rowOff>76200</xdr:rowOff>
    </xdr:to>
    <xdr:cxnSp macro="">
      <xdr:nvCxnSpPr>
        <xdr:cNvPr id="25182" name="직선 화살표 연결선 25181">
          <a:extLst>
            <a:ext uri="{FF2B5EF4-FFF2-40B4-BE49-F238E27FC236}">
              <a16:creationId xmlns:a16="http://schemas.microsoft.com/office/drawing/2014/main" id="{5EEEF37E-946F-9B32-F3BA-1905D6BA5D47}"/>
            </a:ext>
          </a:extLst>
        </xdr:cNvPr>
        <xdr:cNvCxnSpPr/>
      </xdr:nvCxnSpPr>
      <xdr:spPr>
        <a:xfrm>
          <a:off x="11595100" y="723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45</xdr:row>
      <xdr:rowOff>19050</xdr:rowOff>
    </xdr:from>
    <xdr:to>
      <xdr:col>48</xdr:col>
      <xdr:colOff>1270</xdr:colOff>
      <xdr:row>45</xdr:row>
      <xdr:rowOff>133350</xdr:rowOff>
    </xdr:to>
    <xdr:sp macro="" textlink="">
      <xdr:nvSpPr>
        <xdr:cNvPr id="25183" name="42">
          <a:extLst>
            <a:ext uri="{FF2B5EF4-FFF2-40B4-BE49-F238E27FC236}">
              <a16:creationId xmlns:a16="http://schemas.microsoft.com/office/drawing/2014/main" id="{9B29B972-D900-1A29-426A-CA11AD42ADE5}"/>
            </a:ext>
          </a:extLst>
        </xdr:cNvPr>
        <xdr:cNvSpPr/>
      </xdr:nvSpPr>
      <xdr:spPr>
        <a:xfrm>
          <a:off x="11595100" y="7029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45</xdr:row>
      <xdr:rowOff>76200</xdr:rowOff>
    </xdr:from>
    <xdr:to>
      <xdr:col>43</xdr:col>
      <xdr:colOff>0</xdr:colOff>
      <xdr:row>45</xdr:row>
      <xdr:rowOff>76200</xdr:rowOff>
    </xdr:to>
    <xdr:cxnSp macro="">
      <xdr:nvCxnSpPr>
        <xdr:cNvPr id="25184" name="직선 화살표 연결선 25183">
          <a:extLst>
            <a:ext uri="{FF2B5EF4-FFF2-40B4-BE49-F238E27FC236}">
              <a16:creationId xmlns:a16="http://schemas.microsoft.com/office/drawing/2014/main" id="{59043B30-1105-3C27-9E10-2B434F2B9296}"/>
            </a:ext>
          </a:extLst>
        </xdr:cNvPr>
        <xdr:cNvCxnSpPr/>
      </xdr:nvCxnSpPr>
      <xdr:spPr>
        <a:xfrm>
          <a:off x="11595100" y="7086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44</xdr:row>
      <xdr:rowOff>19050</xdr:rowOff>
    </xdr:from>
    <xdr:to>
      <xdr:col>47</xdr:col>
      <xdr:colOff>1270</xdr:colOff>
      <xdr:row>44</xdr:row>
      <xdr:rowOff>133350</xdr:rowOff>
    </xdr:to>
    <xdr:sp macro="" textlink="">
      <xdr:nvSpPr>
        <xdr:cNvPr id="25185" name="41">
          <a:extLst>
            <a:ext uri="{FF2B5EF4-FFF2-40B4-BE49-F238E27FC236}">
              <a16:creationId xmlns:a16="http://schemas.microsoft.com/office/drawing/2014/main" id="{A9D206F5-0DC5-0608-D1D6-DBA9D86ECEB3}"/>
            </a:ext>
          </a:extLst>
        </xdr:cNvPr>
        <xdr:cNvSpPr/>
      </xdr:nvSpPr>
      <xdr:spPr>
        <a:xfrm>
          <a:off x="11366500" y="68770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44</xdr:row>
      <xdr:rowOff>76200</xdr:rowOff>
    </xdr:from>
    <xdr:to>
      <xdr:col>39</xdr:col>
      <xdr:colOff>0</xdr:colOff>
      <xdr:row>44</xdr:row>
      <xdr:rowOff>76200</xdr:rowOff>
    </xdr:to>
    <xdr:cxnSp macro="">
      <xdr:nvCxnSpPr>
        <xdr:cNvPr id="25186" name="직선 화살표 연결선 25185">
          <a:extLst>
            <a:ext uri="{FF2B5EF4-FFF2-40B4-BE49-F238E27FC236}">
              <a16:creationId xmlns:a16="http://schemas.microsoft.com/office/drawing/2014/main" id="{7CB29118-9D13-B51F-6985-0A57D8BBA03C}"/>
            </a:ext>
          </a:extLst>
        </xdr:cNvPr>
        <xdr:cNvCxnSpPr/>
      </xdr:nvCxnSpPr>
      <xdr:spPr>
        <a:xfrm>
          <a:off x="11366500" y="693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43</xdr:row>
      <xdr:rowOff>19050</xdr:rowOff>
    </xdr:from>
    <xdr:to>
      <xdr:col>46</xdr:col>
      <xdr:colOff>1270</xdr:colOff>
      <xdr:row>43</xdr:row>
      <xdr:rowOff>133350</xdr:rowOff>
    </xdr:to>
    <xdr:sp macro="" textlink="">
      <xdr:nvSpPr>
        <xdr:cNvPr id="25187" name="40">
          <a:extLst>
            <a:ext uri="{FF2B5EF4-FFF2-40B4-BE49-F238E27FC236}">
              <a16:creationId xmlns:a16="http://schemas.microsoft.com/office/drawing/2014/main" id="{9475DA41-03C8-69D8-4F91-C292D1D1B28B}"/>
            </a:ext>
          </a:extLst>
        </xdr:cNvPr>
        <xdr:cNvSpPr/>
      </xdr:nvSpPr>
      <xdr:spPr>
        <a:xfrm>
          <a:off x="11366500" y="67246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43</xdr:row>
      <xdr:rowOff>76200</xdr:rowOff>
    </xdr:from>
    <xdr:to>
      <xdr:col>39</xdr:col>
      <xdr:colOff>0</xdr:colOff>
      <xdr:row>43</xdr:row>
      <xdr:rowOff>76200</xdr:rowOff>
    </xdr:to>
    <xdr:cxnSp macro="">
      <xdr:nvCxnSpPr>
        <xdr:cNvPr id="25188" name="직선 화살표 연결선 25187">
          <a:extLst>
            <a:ext uri="{FF2B5EF4-FFF2-40B4-BE49-F238E27FC236}">
              <a16:creationId xmlns:a16="http://schemas.microsoft.com/office/drawing/2014/main" id="{393B5AE7-C1A1-5DB8-A0F3-91B74DC193FC}"/>
            </a:ext>
          </a:extLst>
        </xdr:cNvPr>
        <xdr:cNvCxnSpPr/>
      </xdr:nvCxnSpPr>
      <xdr:spPr>
        <a:xfrm>
          <a:off x="11366500" y="678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42</xdr:row>
      <xdr:rowOff>19050</xdr:rowOff>
    </xdr:from>
    <xdr:to>
      <xdr:col>45</xdr:col>
      <xdr:colOff>1270</xdr:colOff>
      <xdr:row>42</xdr:row>
      <xdr:rowOff>133350</xdr:rowOff>
    </xdr:to>
    <xdr:sp macro="" textlink="">
      <xdr:nvSpPr>
        <xdr:cNvPr id="25189" name="39">
          <a:extLst>
            <a:ext uri="{FF2B5EF4-FFF2-40B4-BE49-F238E27FC236}">
              <a16:creationId xmlns:a16="http://schemas.microsoft.com/office/drawing/2014/main" id="{122FE63E-0942-D089-AF59-D9340B8FD79F}"/>
            </a:ext>
          </a:extLst>
        </xdr:cNvPr>
        <xdr:cNvSpPr/>
      </xdr:nvSpPr>
      <xdr:spPr>
        <a:xfrm>
          <a:off x="11366500" y="65722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42</xdr:row>
      <xdr:rowOff>76200</xdr:rowOff>
    </xdr:from>
    <xdr:to>
      <xdr:col>39</xdr:col>
      <xdr:colOff>0</xdr:colOff>
      <xdr:row>42</xdr:row>
      <xdr:rowOff>76200</xdr:rowOff>
    </xdr:to>
    <xdr:cxnSp macro="">
      <xdr:nvCxnSpPr>
        <xdr:cNvPr id="25190" name="직선 화살표 연결선 25189">
          <a:extLst>
            <a:ext uri="{FF2B5EF4-FFF2-40B4-BE49-F238E27FC236}">
              <a16:creationId xmlns:a16="http://schemas.microsoft.com/office/drawing/2014/main" id="{05457C24-6693-7323-5097-4C03B83A5286}"/>
            </a:ext>
          </a:extLst>
        </xdr:cNvPr>
        <xdr:cNvCxnSpPr/>
      </xdr:nvCxnSpPr>
      <xdr:spPr>
        <a:xfrm>
          <a:off x="11366500" y="662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41</xdr:row>
      <xdr:rowOff>19050</xdr:rowOff>
    </xdr:from>
    <xdr:to>
      <xdr:col>48</xdr:col>
      <xdr:colOff>1270</xdr:colOff>
      <xdr:row>41</xdr:row>
      <xdr:rowOff>133350</xdr:rowOff>
    </xdr:to>
    <xdr:sp macro="" textlink="">
      <xdr:nvSpPr>
        <xdr:cNvPr id="25191" name="38">
          <a:extLst>
            <a:ext uri="{FF2B5EF4-FFF2-40B4-BE49-F238E27FC236}">
              <a16:creationId xmlns:a16="http://schemas.microsoft.com/office/drawing/2014/main" id="{D158C710-41A2-C5B0-C017-27707AFAED46}"/>
            </a:ext>
          </a:extLst>
        </xdr:cNvPr>
        <xdr:cNvSpPr/>
      </xdr:nvSpPr>
      <xdr:spPr>
        <a:xfrm>
          <a:off x="11366500" y="6419850"/>
          <a:ext cx="515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41</xdr:row>
      <xdr:rowOff>76200</xdr:rowOff>
    </xdr:from>
    <xdr:to>
      <xdr:col>39</xdr:col>
      <xdr:colOff>0</xdr:colOff>
      <xdr:row>41</xdr:row>
      <xdr:rowOff>76200</xdr:rowOff>
    </xdr:to>
    <xdr:cxnSp macro="">
      <xdr:nvCxnSpPr>
        <xdr:cNvPr id="25192" name="직선 화살표 연결선 25191">
          <a:extLst>
            <a:ext uri="{FF2B5EF4-FFF2-40B4-BE49-F238E27FC236}">
              <a16:creationId xmlns:a16="http://schemas.microsoft.com/office/drawing/2014/main" id="{AB6116A8-7F2F-71AA-4CC8-D8DABD6F1BCD}"/>
            </a:ext>
          </a:extLst>
        </xdr:cNvPr>
        <xdr:cNvCxnSpPr/>
      </xdr:nvCxnSpPr>
      <xdr:spPr>
        <a:xfrm>
          <a:off x="11366500"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40</xdr:row>
      <xdr:rowOff>19050</xdr:rowOff>
    </xdr:from>
    <xdr:to>
      <xdr:col>55</xdr:col>
      <xdr:colOff>1270</xdr:colOff>
      <xdr:row>40</xdr:row>
      <xdr:rowOff>133350</xdr:rowOff>
    </xdr:to>
    <xdr:sp macro="" textlink="">
      <xdr:nvSpPr>
        <xdr:cNvPr id="25193" name="37">
          <a:extLst>
            <a:ext uri="{FF2B5EF4-FFF2-40B4-BE49-F238E27FC236}">
              <a16:creationId xmlns:a16="http://schemas.microsoft.com/office/drawing/2014/main" id="{3571F51D-B7E2-A59C-A5D8-1256303ED062}"/>
            </a:ext>
          </a:extLst>
        </xdr:cNvPr>
        <xdr:cNvSpPr/>
      </xdr:nvSpPr>
      <xdr:spPr>
        <a:xfrm>
          <a:off x="11195050" y="6267450"/>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40</xdr:row>
      <xdr:rowOff>76200</xdr:rowOff>
    </xdr:from>
    <xdr:to>
      <xdr:col>36</xdr:col>
      <xdr:colOff>0</xdr:colOff>
      <xdr:row>40</xdr:row>
      <xdr:rowOff>76200</xdr:rowOff>
    </xdr:to>
    <xdr:cxnSp macro="">
      <xdr:nvCxnSpPr>
        <xdr:cNvPr id="25194" name="직선 화살표 연결선 25193">
          <a:extLst>
            <a:ext uri="{FF2B5EF4-FFF2-40B4-BE49-F238E27FC236}">
              <a16:creationId xmlns:a16="http://schemas.microsoft.com/office/drawing/2014/main" id="{0AEEB21F-5960-3178-E6E1-CEDFB1D9AB80}"/>
            </a:ext>
          </a:extLst>
        </xdr:cNvPr>
        <xdr:cNvCxnSpPr/>
      </xdr:nvCxnSpPr>
      <xdr:spPr>
        <a:xfrm>
          <a:off x="11195050" y="632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39</xdr:row>
      <xdr:rowOff>19050</xdr:rowOff>
    </xdr:from>
    <xdr:to>
      <xdr:col>42</xdr:col>
      <xdr:colOff>1270</xdr:colOff>
      <xdr:row>39</xdr:row>
      <xdr:rowOff>133350</xdr:rowOff>
    </xdr:to>
    <xdr:sp macro="" textlink="">
      <xdr:nvSpPr>
        <xdr:cNvPr id="25195" name="36">
          <a:extLst>
            <a:ext uri="{FF2B5EF4-FFF2-40B4-BE49-F238E27FC236}">
              <a16:creationId xmlns:a16="http://schemas.microsoft.com/office/drawing/2014/main" id="{1E4C7AE5-4BFD-4B33-F05C-B688C75D8387}"/>
            </a:ext>
          </a:extLst>
        </xdr:cNvPr>
        <xdr:cNvSpPr/>
      </xdr:nvSpPr>
      <xdr:spPr>
        <a:xfrm>
          <a:off x="11195050" y="61150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39</xdr:row>
      <xdr:rowOff>76200</xdr:rowOff>
    </xdr:from>
    <xdr:to>
      <xdr:col>36</xdr:col>
      <xdr:colOff>0</xdr:colOff>
      <xdr:row>39</xdr:row>
      <xdr:rowOff>76200</xdr:rowOff>
    </xdr:to>
    <xdr:cxnSp macro="">
      <xdr:nvCxnSpPr>
        <xdr:cNvPr id="25196" name="직선 화살표 연결선 25195">
          <a:extLst>
            <a:ext uri="{FF2B5EF4-FFF2-40B4-BE49-F238E27FC236}">
              <a16:creationId xmlns:a16="http://schemas.microsoft.com/office/drawing/2014/main" id="{4122014C-CFAA-D25B-5503-EC66C36E1600}"/>
            </a:ext>
          </a:extLst>
        </xdr:cNvPr>
        <xdr:cNvCxnSpPr/>
      </xdr:nvCxnSpPr>
      <xdr:spPr>
        <a:xfrm>
          <a:off x="11195050" y="617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38</xdr:row>
      <xdr:rowOff>19050</xdr:rowOff>
    </xdr:from>
    <xdr:to>
      <xdr:col>41</xdr:col>
      <xdr:colOff>1270</xdr:colOff>
      <xdr:row>38</xdr:row>
      <xdr:rowOff>133350</xdr:rowOff>
    </xdr:to>
    <xdr:sp macro="" textlink="">
      <xdr:nvSpPr>
        <xdr:cNvPr id="25197" name="35">
          <a:extLst>
            <a:ext uri="{FF2B5EF4-FFF2-40B4-BE49-F238E27FC236}">
              <a16:creationId xmlns:a16="http://schemas.microsoft.com/office/drawing/2014/main" id="{81F822AC-2F03-110A-92ED-585C1CC02E42}"/>
            </a:ext>
          </a:extLst>
        </xdr:cNvPr>
        <xdr:cNvSpPr/>
      </xdr:nvSpPr>
      <xdr:spPr>
        <a:xfrm>
          <a:off x="11195050" y="59626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38</xdr:row>
      <xdr:rowOff>76200</xdr:rowOff>
    </xdr:from>
    <xdr:to>
      <xdr:col>36</xdr:col>
      <xdr:colOff>0</xdr:colOff>
      <xdr:row>38</xdr:row>
      <xdr:rowOff>76200</xdr:rowOff>
    </xdr:to>
    <xdr:cxnSp macro="">
      <xdr:nvCxnSpPr>
        <xdr:cNvPr id="25198" name="직선 화살표 연결선 25197">
          <a:extLst>
            <a:ext uri="{FF2B5EF4-FFF2-40B4-BE49-F238E27FC236}">
              <a16:creationId xmlns:a16="http://schemas.microsoft.com/office/drawing/2014/main" id="{272A1BD7-3B53-9B63-D7AA-36742434FE78}"/>
            </a:ext>
          </a:extLst>
        </xdr:cNvPr>
        <xdr:cNvCxnSpPr/>
      </xdr:nvCxnSpPr>
      <xdr:spPr>
        <a:xfrm>
          <a:off x="11195050" y="6019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37</xdr:row>
      <xdr:rowOff>19050</xdr:rowOff>
    </xdr:from>
    <xdr:to>
      <xdr:col>40</xdr:col>
      <xdr:colOff>1270</xdr:colOff>
      <xdr:row>37</xdr:row>
      <xdr:rowOff>133350</xdr:rowOff>
    </xdr:to>
    <xdr:sp macro="" textlink="">
      <xdr:nvSpPr>
        <xdr:cNvPr id="25199" name="34">
          <a:extLst>
            <a:ext uri="{FF2B5EF4-FFF2-40B4-BE49-F238E27FC236}">
              <a16:creationId xmlns:a16="http://schemas.microsoft.com/office/drawing/2014/main" id="{405A3F99-2115-8B07-363F-6CAB9C82C7B1}"/>
            </a:ext>
          </a:extLst>
        </xdr:cNvPr>
        <xdr:cNvSpPr/>
      </xdr:nvSpPr>
      <xdr:spPr>
        <a:xfrm>
          <a:off x="11195050" y="5810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37</xdr:row>
      <xdr:rowOff>76200</xdr:rowOff>
    </xdr:from>
    <xdr:to>
      <xdr:col>36</xdr:col>
      <xdr:colOff>0</xdr:colOff>
      <xdr:row>37</xdr:row>
      <xdr:rowOff>76200</xdr:rowOff>
    </xdr:to>
    <xdr:cxnSp macro="">
      <xdr:nvCxnSpPr>
        <xdr:cNvPr id="25200" name="직선 화살표 연결선 25199">
          <a:extLst>
            <a:ext uri="{FF2B5EF4-FFF2-40B4-BE49-F238E27FC236}">
              <a16:creationId xmlns:a16="http://schemas.microsoft.com/office/drawing/2014/main" id="{B83C78AD-6E80-A0CC-3933-DDBC26217114}"/>
            </a:ext>
          </a:extLst>
        </xdr:cNvPr>
        <xdr:cNvCxnSpPr/>
      </xdr:nvCxnSpPr>
      <xdr:spPr>
        <a:xfrm>
          <a:off x="11195050" y="5867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36</xdr:row>
      <xdr:rowOff>19050</xdr:rowOff>
    </xdr:from>
    <xdr:to>
      <xdr:col>42</xdr:col>
      <xdr:colOff>1270</xdr:colOff>
      <xdr:row>36</xdr:row>
      <xdr:rowOff>133350</xdr:rowOff>
    </xdr:to>
    <xdr:sp macro="" textlink="">
      <xdr:nvSpPr>
        <xdr:cNvPr id="25201" name="33">
          <a:extLst>
            <a:ext uri="{FF2B5EF4-FFF2-40B4-BE49-F238E27FC236}">
              <a16:creationId xmlns:a16="http://schemas.microsoft.com/office/drawing/2014/main" id="{DFBA92E7-88B4-BD5C-7E84-1870BD3C1169}"/>
            </a:ext>
          </a:extLst>
        </xdr:cNvPr>
        <xdr:cNvSpPr/>
      </xdr:nvSpPr>
      <xdr:spPr>
        <a:xfrm>
          <a:off x="11195050" y="5657850"/>
          <a:ext cx="344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36</xdr:row>
      <xdr:rowOff>76200</xdr:rowOff>
    </xdr:from>
    <xdr:to>
      <xdr:col>36</xdr:col>
      <xdr:colOff>0</xdr:colOff>
      <xdr:row>36</xdr:row>
      <xdr:rowOff>76200</xdr:rowOff>
    </xdr:to>
    <xdr:cxnSp macro="">
      <xdr:nvCxnSpPr>
        <xdr:cNvPr id="25202" name="직선 화살표 연결선 25201">
          <a:extLst>
            <a:ext uri="{FF2B5EF4-FFF2-40B4-BE49-F238E27FC236}">
              <a16:creationId xmlns:a16="http://schemas.microsoft.com/office/drawing/2014/main" id="{F935515A-A851-8281-807A-452714E892CA}"/>
            </a:ext>
          </a:extLst>
        </xdr:cNvPr>
        <xdr:cNvCxnSpPr/>
      </xdr:nvCxnSpPr>
      <xdr:spPr>
        <a:xfrm>
          <a:off x="11195050" y="5715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35</xdr:row>
      <xdr:rowOff>19050</xdr:rowOff>
    </xdr:from>
    <xdr:to>
      <xdr:col>44</xdr:col>
      <xdr:colOff>1270</xdr:colOff>
      <xdr:row>35</xdr:row>
      <xdr:rowOff>133350</xdr:rowOff>
    </xdr:to>
    <xdr:sp macro="" textlink="">
      <xdr:nvSpPr>
        <xdr:cNvPr id="25203" name="32">
          <a:extLst>
            <a:ext uri="{FF2B5EF4-FFF2-40B4-BE49-F238E27FC236}">
              <a16:creationId xmlns:a16="http://schemas.microsoft.com/office/drawing/2014/main" id="{A7D8562C-1E3D-3A32-EF9C-B5B0170946FF}"/>
            </a:ext>
          </a:extLst>
        </xdr:cNvPr>
        <xdr:cNvSpPr/>
      </xdr:nvSpPr>
      <xdr:spPr>
        <a:xfrm>
          <a:off x="11195050" y="55054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35</xdr:row>
      <xdr:rowOff>76200</xdr:rowOff>
    </xdr:from>
    <xdr:to>
      <xdr:col>36</xdr:col>
      <xdr:colOff>0</xdr:colOff>
      <xdr:row>35</xdr:row>
      <xdr:rowOff>76200</xdr:rowOff>
    </xdr:to>
    <xdr:cxnSp macro="">
      <xdr:nvCxnSpPr>
        <xdr:cNvPr id="25204" name="직선 화살표 연결선 25203">
          <a:extLst>
            <a:ext uri="{FF2B5EF4-FFF2-40B4-BE49-F238E27FC236}">
              <a16:creationId xmlns:a16="http://schemas.microsoft.com/office/drawing/2014/main" id="{8C8744EE-7ABD-5318-CACB-77B141AB167C}"/>
            </a:ext>
          </a:extLst>
        </xdr:cNvPr>
        <xdr:cNvCxnSpPr/>
      </xdr:nvCxnSpPr>
      <xdr:spPr>
        <a:xfrm>
          <a:off x="11195050" y="556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34</xdr:row>
      <xdr:rowOff>19050</xdr:rowOff>
    </xdr:from>
    <xdr:to>
      <xdr:col>44</xdr:col>
      <xdr:colOff>1270</xdr:colOff>
      <xdr:row>34</xdr:row>
      <xdr:rowOff>133350</xdr:rowOff>
    </xdr:to>
    <xdr:sp macro="" textlink="">
      <xdr:nvSpPr>
        <xdr:cNvPr id="25205" name="31">
          <a:extLst>
            <a:ext uri="{FF2B5EF4-FFF2-40B4-BE49-F238E27FC236}">
              <a16:creationId xmlns:a16="http://schemas.microsoft.com/office/drawing/2014/main" id="{CA4D1B10-0CF8-8BA0-1BA3-68D30998E8B1}"/>
            </a:ext>
          </a:extLst>
        </xdr:cNvPr>
        <xdr:cNvSpPr/>
      </xdr:nvSpPr>
      <xdr:spPr>
        <a:xfrm>
          <a:off x="11195050" y="53530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34</xdr:row>
      <xdr:rowOff>76200</xdr:rowOff>
    </xdr:from>
    <xdr:to>
      <xdr:col>36</xdr:col>
      <xdr:colOff>0</xdr:colOff>
      <xdr:row>34</xdr:row>
      <xdr:rowOff>76200</xdr:rowOff>
    </xdr:to>
    <xdr:cxnSp macro="">
      <xdr:nvCxnSpPr>
        <xdr:cNvPr id="25206" name="직선 화살표 연결선 25205">
          <a:extLst>
            <a:ext uri="{FF2B5EF4-FFF2-40B4-BE49-F238E27FC236}">
              <a16:creationId xmlns:a16="http://schemas.microsoft.com/office/drawing/2014/main" id="{E58704DE-FA07-D318-8AA5-169844E121EE}"/>
            </a:ext>
          </a:extLst>
        </xdr:cNvPr>
        <xdr:cNvCxnSpPr/>
      </xdr:nvCxnSpPr>
      <xdr:spPr>
        <a:xfrm>
          <a:off x="11195050" y="541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33</xdr:row>
      <xdr:rowOff>19050</xdr:rowOff>
    </xdr:from>
    <xdr:to>
      <xdr:col>44</xdr:col>
      <xdr:colOff>1270</xdr:colOff>
      <xdr:row>33</xdr:row>
      <xdr:rowOff>133350</xdr:rowOff>
    </xdr:to>
    <xdr:sp macro="" textlink="">
      <xdr:nvSpPr>
        <xdr:cNvPr id="25207" name="30">
          <a:extLst>
            <a:ext uri="{FF2B5EF4-FFF2-40B4-BE49-F238E27FC236}">
              <a16:creationId xmlns:a16="http://schemas.microsoft.com/office/drawing/2014/main" id="{06D0F586-EE8B-1980-58E4-FEC0F735909B}"/>
            </a:ext>
          </a:extLst>
        </xdr:cNvPr>
        <xdr:cNvSpPr/>
      </xdr:nvSpPr>
      <xdr:spPr>
        <a:xfrm>
          <a:off x="10966450" y="520065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33</xdr:row>
      <xdr:rowOff>76200</xdr:rowOff>
    </xdr:from>
    <xdr:to>
      <xdr:col>32</xdr:col>
      <xdr:colOff>0</xdr:colOff>
      <xdr:row>33</xdr:row>
      <xdr:rowOff>76200</xdr:rowOff>
    </xdr:to>
    <xdr:cxnSp macro="">
      <xdr:nvCxnSpPr>
        <xdr:cNvPr id="25208" name="직선 화살표 연결선 25207">
          <a:extLst>
            <a:ext uri="{FF2B5EF4-FFF2-40B4-BE49-F238E27FC236}">
              <a16:creationId xmlns:a16="http://schemas.microsoft.com/office/drawing/2014/main" id="{5FC9E9D7-3AC2-1FF1-9440-C32E7C1C8D3D}"/>
            </a:ext>
          </a:extLst>
        </xdr:cNvPr>
        <xdr:cNvCxnSpPr/>
      </xdr:nvCxnSpPr>
      <xdr:spPr>
        <a:xfrm>
          <a:off x="10966450" y="525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32</xdr:row>
      <xdr:rowOff>19050</xdr:rowOff>
    </xdr:from>
    <xdr:to>
      <xdr:col>44</xdr:col>
      <xdr:colOff>1270</xdr:colOff>
      <xdr:row>32</xdr:row>
      <xdr:rowOff>133350</xdr:rowOff>
    </xdr:to>
    <xdr:sp macro="" textlink="">
      <xdr:nvSpPr>
        <xdr:cNvPr id="25209" name="29">
          <a:extLst>
            <a:ext uri="{FF2B5EF4-FFF2-40B4-BE49-F238E27FC236}">
              <a16:creationId xmlns:a16="http://schemas.microsoft.com/office/drawing/2014/main" id="{D4277849-FE33-4802-92AD-4E1313D6E72E}"/>
            </a:ext>
          </a:extLst>
        </xdr:cNvPr>
        <xdr:cNvSpPr/>
      </xdr:nvSpPr>
      <xdr:spPr>
        <a:xfrm>
          <a:off x="10966450" y="50482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32</xdr:row>
      <xdr:rowOff>76200</xdr:rowOff>
    </xdr:from>
    <xdr:to>
      <xdr:col>32</xdr:col>
      <xdr:colOff>0</xdr:colOff>
      <xdr:row>32</xdr:row>
      <xdr:rowOff>76200</xdr:rowOff>
    </xdr:to>
    <xdr:cxnSp macro="">
      <xdr:nvCxnSpPr>
        <xdr:cNvPr id="25210" name="직선 화살표 연결선 25209">
          <a:extLst>
            <a:ext uri="{FF2B5EF4-FFF2-40B4-BE49-F238E27FC236}">
              <a16:creationId xmlns:a16="http://schemas.microsoft.com/office/drawing/2014/main" id="{99A79203-A87E-E6A0-102C-9080B9170DC5}"/>
            </a:ext>
          </a:extLst>
        </xdr:cNvPr>
        <xdr:cNvCxnSpPr/>
      </xdr:nvCxnSpPr>
      <xdr:spPr>
        <a:xfrm>
          <a:off x="10966450" y="510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31</xdr:row>
      <xdr:rowOff>19050</xdr:rowOff>
    </xdr:from>
    <xdr:to>
      <xdr:col>44</xdr:col>
      <xdr:colOff>1270</xdr:colOff>
      <xdr:row>31</xdr:row>
      <xdr:rowOff>133350</xdr:rowOff>
    </xdr:to>
    <xdr:sp macro="" textlink="">
      <xdr:nvSpPr>
        <xdr:cNvPr id="25211" name="28">
          <a:extLst>
            <a:ext uri="{FF2B5EF4-FFF2-40B4-BE49-F238E27FC236}">
              <a16:creationId xmlns:a16="http://schemas.microsoft.com/office/drawing/2014/main" id="{B712F9E0-8BEB-3090-BAFE-66D1B7C15111}"/>
            </a:ext>
          </a:extLst>
        </xdr:cNvPr>
        <xdr:cNvSpPr/>
      </xdr:nvSpPr>
      <xdr:spPr>
        <a:xfrm>
          <a:off x="10966450" y="48958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31</xdr:row>
      <xdr:rowOff>76200</xdr:rowOff>
    </xdr:from>
    <xdr:to>
      <xdr:col>32</xdr:col>
      <xdr:colOff>0</xdr:colOff>
      <xdr:row>31</xdr:row>
      <xdr:rowOff>76200</xdr:rowOff>
    </xdr:to>
    <xdr:cxnSp macro="">
      <xdr:nvCxnSpPr>
        <xdr:cNvPr id="25212" name="직선 화살표 연결선 25211">
          <a:extLst>
            <a:ext uri="{FF2B5EF4-FFF2-40B4-BE49-F238E27FC236}">
              <a16:creationId xmlns:a16="http://schemas.microsoft.com/office/drawing/2014/main" id="{19E6FDEE-73C4-AD1C-4BBE-901E1B01185A}"/>
            </a:ext>
          </a:extLst>
        </xdr:cNvPr>
        <xdr:cNvCxnSpPr/>
      </xdr:nvCxnSpPr>
      <xdr:spPr>
        <a:xfrm>
          <a:off x="10966450" y="4953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30</xdr:row>
      <xdr:rowOff>19050</xdr:rowOff>
    </xdr:from>
    <xdr:to>
      <xdr:col>44</xdr:col>
      <xdr:colOff>1270</xdr:colOff>
      <xdr:row>30</xdr:row>
      <xdr:rowOff>133350</xdr:rowOff>
    </xdr:to>
    <xdr:sp macro="" textlink="">
      <xdr:nvSpPr>
        <xdr:cNvPr id="25213" name="27">
          <a:extLst>
            <a:ext uri="{FF2B5EF4-FFF2-40B4-BE49-F238E27FC236}">
              <a16:creationId xmlns:a16="http://schemas.microsoft.com/office/drawing/2014/main" id="{2E74F33A-5D67-31C2-4230-8906D48A7C43}"/>
            </a:ext>
          </a:extLst>
        </xdr:cNvPr>
        <xdr:cNvSpPr/>
      </xdr:nvSpPr>
      <xdr:spPr>
        <a:xfrm>
          <a:off x="11423650" y="4743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30</xdr:row>
      <xdr:rowOff>76200</xdr:rowOff>
    </xdr:from>
    <xdr:to>
      <xdr:col>40</xdr:col>
      <xdr:colOff>0</xdr:colOff>
      <xdr:row>30</xdr:row>
      <xdr:rowOff>76200</xdr:rowOff>
    </xdr:to>
    <xdr:cxnSp macro="">
      <xdr:nvCxnSpPr>
        <xdr:cNvPr id="25214" name="직선 화살표 연결선 25213">
          <a:extLst>
            <a:ext uri="{FF2B5EF4-FFF2-40B4-BE49-F238E27FC236}">
              <a16:creationId xmlns:a16="http://schemas.microsoft.com/office/drawing/2014/main" id="{C503FC7D-9970-15D8-1E7F-B4E61870630F}"/>
            </a:ext>
          </a:extLst>
        </xdr:cNvPr>
        <xdr:cNvCxnSpPr/>
      </xdr:nvCxnSpPr>
      <xdr:spPr>
        <a:xfrm>
          <a:off x="11423650" y="4800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29</xdr:row>
      <xdr:rowOff>19050</xdr:rowOff>
    </xdr:from>
    <xdr:to>
      <xdr:col>44</xdr:col>
      <xdr:colOff>1270</xdr:colOff>
      <xdr:row>29</xdr:row>
      <xdr:rowOff>133350</xdr:rowOff>
    </xdr:to>
    <xdr:sp macro="" textlink="">
      <xdr:nvSpPr>
        <xdr:cNvPr id="25215" name="26">
          <a:extLst>
            <a:ext uri="{FF2B5EF4-FFF2-40B4-BE49-F238E27FC236}">
              <a16:creationId xmlns:a16="http://schemas.microsoft.com/office/drawing/2014/main" id="{208BCBC8-342E-6704-8B8D-F9CB9FDD8C11}"/>
            </a:ext>
          </a:extLst>
        </xdr:cNvPr>
        <xdr:cNvSpPr/>
      </xdr:nvSpPr>
      <xdr:spPr>
        <a:xfrm>
          <a:off x="11423650" y="45910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29</xdr:row>
      <xdr:rowOff>76200</xdr:rowOff>
    </xdr:from>
    <xdr:to>
      <xdr:col>40</xdr:col>
      <xdr:colOff>0</xdr:colOff>
      <xdr:row>29</xdr:row>
      <xdr:rowOff>76200</xdr:rowOff>
    </xdr:to>
    <xdr:cxnSp macro="">
      <xdr:nvCxnSpPr>
        <xdr:cNvPr id="25216" name="직선 화살표 연결선 25215">
          <a:extLst>
            <a:ext uri="{FF2B5EF4-FFF2-40B4-BE49-F238E27FC236}">
              <a16:creationId xmlns:a16="http://schemas.microsoft.com/office/drawing/2014/main" id="{602277F1-84EC-8E0A-2E0D-57AF5FA83F4E}"/>
            </a:ext>
          </a:extLst>
        </xdr:cNvPr>
        <xdr:cNvCxnSpPr/>
      </xdr:nvCxnSpPr>
      <xdr:spPr>
        <a:xfrm>
          <a:off x="11423650" y="464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28</xdr:row>
      <xdr:rowOff>19050</xdr:rowOff>
    </xdr:from>
    <xdr:to>
      <xdr:col>44</xdr:col>
      <xdr:colOff>1270</xdr:colOff>
      <xdr:row>28</xdr:row>
      <xdr:rowOff>133350</xdr:rowOff>
    </xdr:to>
    <xdr:sp macro="" textlink="">
      <xdr:nvSpPr>
        <xdr:cNvPr id="25217" name="25">
          <a:extLst>
            <a:ext uri="{FF2B5EF4-FFF2-40B4-BE49-F238E27FC236}">
              <a16:creationId xmlns:a16="http://schemas.microsoft.com/office/drawing/2014/main" id="{28C16187-970A-3332-6B25-901B6D72A2FC}"/>
            </a:ext>
          </a:extLst>
        </xdr:cNvPr>
        <xdr:cNvSpPr/>
      </xdr:nvSpPr>
      <xdr:spPr>
        <a:xfrm>
          <a:off x="11423650" y="44386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28</xdr:row>
      <xdr:rowOff>76200</xdr:rowOff>
    </xdr:from>
    <xdr:to>
      <xdr:col>40</xdr:col>
      <xdr:colOff>0</xdr:colOff>
      <xdr:row>28</xdr:row>
      <xdr:rowOff>76200</xdr:rowOff>
    </xdr:to>
    <xdr:cxnSp macro="">
      <xdr:nvCxnSpPr>
        <xdr:cNvPr id="25218" name="직선 화살표 연결선 25217">
          <a:extLst>
            <a:ext uri="{FF2B5EF4-FFF2-40B4-BE49-F238E27FC236}">
              <a16:creationId xmlns:a16="http://schemas.microsoft.com/office/drawing/2014/main" id="{7EFD2B4B-9346-6F19-3BB9-6EA54E12BBFD}"/>
            </a:ext>
          </a:extLst>
        </xdr:cNvPr>
        <xdr:cNvCxnSpPr/>
      </xdr:nvCxnSpPr>
      <xdr:spPr>
        <a:xfrm>
          <a:off x="11423650" y="4495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27</xdr:row>
      <xdr:rowOff>19050</xdr:rowOff>
    </xdr:from>
    <xdr:to>
      <xdr:col>40</xdr:col>
      <xdr:colOff>1270</xdr:colOff>
      <xdr:row>27</xdr:row>
      <xdr:rowOff>133350</xdr:rowOff>
    </xdr:to>
    <xdr:sp macro="" textlink="">
      <xdr:nvSpPr>
        <xdr:cNvPr id="25219" name="24">
          <a:extLst>
            <a:ext uri="{FF2B5EF4-FFF2-40B4-BE49-F238E27FC236}">
              <a16:creationId xmlns:a16="http://schemas.microsoft.com/office/drawing/2014/main" id="{BD06F90F-02A7-3981-EC27-A4884B3303AA}"/>
            </a:ext>
          </a:extLst>
        </xdr:cNvPr>
        <xdr:cNvSpPr/>
      </xdr:nvSpPr>
      <xdr:spPr>
        <a:xfrm>
          <a:off x="11366500" y="42862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27</xdr:row>
      <xdr:rowOff>76200</xdr:rowOff>
    </xdr:from>
    <xdr:to>
      <xdr:col>39</xdr:col>
      <xdr:colOff>0</xdr:colOff>
      <xdr:row>27</xdr:row>
      <xdr:rowOff>76200</xdr:rowOff>
    </xdr:to>
    <xdr:cxnSp macro="">
      <xdr:nvCxnSpPr>
        <xdr:cNvPr id="25220" name="직선 화살표 연결선 25219">
          <a:extLst>
            <a:ext uri="{FF2B5EF4-FFF2-40B4-BE49-F238E27FC236}">
              <a16:creationId xmlns:a16="http://schemas.microsoft.com/office/drawing/2014/main" id="{DD07CC95-1C57-3A1B-4994-6BD7EB32E344}"/>
            </a:ext>
          </a:extLst>
        </xdr:cNvPr>
        <xdr:cNvCxnSpPr/>
      </xdr:nvCxnSpPr>
      <xdr:spPr>
        <a:xfrm>
          <a:off x="11366500" y="4343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26</xdr:row>
      <xdr:rowOff>19050</xdr:rowOff>
    </xdr:from>
    <xdr:to>
      <xdr:col>44</xdr:col>
      <xdr:colOff>1270</xdr:colOff>
      <xdr:row>26</xdr:row>
      <xdr:rowOff>133350</xdr:rowOff>
    </xdr:to>
    <xdr:sp macro="" textlink="">
      <xdr:nvSpPr>
        <xdr:cNvPr id="25221" name="23">
          <a:extLst>
            <a:ext uri="{FF2B5EF4-FFF2-40B4-BE49-F238E27FC236}">
              <a16:creationId xmlns:a16="http://schemas.microsoft.com/office/drawing/2014/main" id="{E4B2D835-A1A3-B521-1798-BA45C0556FEB}"/>
            </a:ext>
          </a:extLst>
        </xdr:cNvPr>
        <xdr:cNvSpPr/>
      </xdr:nvSpPr>
      <xdr:spPr>
        <a:xfrm>
          <a:off x="11366500" y="41338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26</xdr:row>
      <xdr:rowOff>76200</xdr:rowOff>
    </xdr:from>
    <xdr:to>
      <xdr:col>39</xdr:col>
      <xdr:colOff>0</xdr:colOff>
      <xdr:row>26</xdr:row>
      <xdr:rowOff>76200</xdr:rowOff>
    </xdr:to>
    <xdr:cxnSp macro="">
      <xdr:nvCxnSpPr>
        <xdr:cNvPr id="25222" name="직선 화살표 연결선 25221">
          <a:extLst>
            <a:ext uri="{FF2B5EF4-FFF2-40B4-BE49-F238E27FC236}">
              <a16:creationId xmlns:a16="http://schemas.microsoft.com/office/drawing/2014/main" id="{B3805614-9782-26CC-0D68-7117899F6CF6}"/>
            </a:ext>
          </a:extLst>
        </xdr:cNvPr>
        <xdr:cNvCxnSpPr/>
      </xdr:nvCxnSpPr>
      <xdr:spPr>
        <a:xfrm>
          <a:off x="11366500" y="4191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25</xdr:row>
      <xdr:rowOff>19050</xdr:rowOff>
    </xdr:from>
    <xdr:to>
      <xdr:col>40</xdr:col>
      <xdr:colOff>1270</xdr:colOff>
      <xdr:row>25</xdr:row>
      <xdr:rowOff>133350</xdr:rowOff>
    </xdr:to>
    <xdr:sp macro="" textlink="">
      <xdr:nvSpPr>
        <xdr:cNvPr id="25223" name="22">
          <a:extLst>
            <a:ext uri="{FF2B5EF4-FFF2-40B4-BE49-F238E27FC236}">
              <a16:creationId xmlns:a16="http://schemas.microsoft.com/office/drawing/2014/main" id="{F32F045B-BF9A-E227-E12A-0418905AEFC0}"/>
            </a:ext>
          </a:extLst>
        </xdr:cNvPr>
        <xdr:cNvSpPr/>
      </xdr:nvSpPr>
      <xdr:spPr>
        <a:xfrm>
          <a:off x="11195050" y="3981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25</xdr:row>
      <xdr:rowOff>76200</xdr:rowOff>
    </xdr:from>
    <xdr:to>
      <xdr:col>36</xdr:col>
      <xdr:colOff>0</xdr:colOff>
      <xdr:row>25</xdr:row>
      <xdr:rowOff>76200</xdr:rowOff>
    </xdr:to>
    <xdr:cxnSp macro="">
      <xdr:nvCxnSpPr>
        <xdr:cNvPr id="25224" name="직선 화살표 연결선 25223">
          <a:extLst>
            <a:ext uri="{FF2B5EF4-FFF2-40B4-BE49-F238E27FC236}">
              <a16:creationId xmlns:a16="http://schemas.microsoft.com/office/drawing/2014/main" id="{FDD314AD-D9BE-230B-CFAB-424F7FDEF707}"/>
            </a:ext>
          </a:extLst>
        </xdr:cNvPr>
        <xdr:cNvCxnSpPr/>
      </xdr:nvCxnSpPr>
      <xdr:spPr>
        <a:xfrm>
          <a:off x="11195050" y="403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24</xdr:row>
      <xdr:rowOff>19050</xdr:rowOff>
    </xdr:from>
    <xdr:to>
      <xdr:col>37</xdr:col>
      <xdr:colOff>1270</xdr:colOff>
      <xdr:row>24</xdr:row>
      <xdr:rowOff>133350</xdr:rowOff>
    </xdr:to>
    <xdr:sp macro="" textlink="">
      <xdr:nvSpPr>
        <xdr:cNvPr id="25225" name="21">
          <a:extLst>
            <a:ext uri="{FF2B5EF4-FFF2-40B4-BE49-F238E27FC236}">
              <a16:creationId xmlns:a16="http://schemas.microsoft.com/office/drawing/2014/main" id="{CABDC466-6C64-C887-EA3C-8A223D288855}"/>
            </a:ext>
          </a:extLst>
        </xdr:cNvPr>
        <xdr:cNvSpPr/>
      </xdr:nvSpPr>
      <xdr:spPr>
        <a:xfrm>
          <a:off x="10966450" y="3829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24</xdr:row>
      <xdr:rowOff>76200</xdr:rowOff>
    </xdr:from>
    <xdr:to>
      <xdr:col>32</xdr:col>
      <xdr:colOff>0</xdr:colOff>
      <xdr:row>24</xdr:row>
      <xdr:rowOff>76200</xdr:rowOff>
    </xdr:to>
    <xdr:cxnSp macro="">
      <xdr:nvCxnSpPr>
        <xdr:cNvPr id="25226" name="직선 화살표 연결선 25225">
          <a:extLst>
            <a:ext uri="{FF2B5EF4-FFF2-40B4-BE49-F238E27FC236}">
              <a16:creationId xmlns:a16="http://schemas.microsoft.com/office/drawing/2014/main" id="{F980A849-A3CF-04B8-59FC-9A49F68D414A}"/>
            </a:ext>
          </a:extLst>
        </xdr:cNvPr>
        <xdr:cNvCxnSpPr/>
      </xdr:nvCxnSpPr>
      <xdr:spPr>
        <a:xfrm>
          <a:off x="10966450" y="388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37</xdr:col>
      <xdr:colOff>1270</xdr:colOff>
      <xdr:row>23</xdr:row>
      <xdr:rowOff>133350</xdr:rowOff>
    </xdr:to>
    <xdr:sp macro="" textlink="">
      <xdr:nvSpPr>
        <xdr:cNvPr id="25227" name="20">
          <a:extLst>
            <a:ext uri="{FF2B5EF4-FFF2-40B4-BE49-F238E27FC236}">
              <a16:creationId xmlns:a16="http://schemas.microsoft.com/office/drawing/2014/main" id="{1BC74679-EFB4-EA70-A038-608E1369C3CF}"/>
            </a:ext>
          </a:extLst>
        </xdr:cNvPr>
        <xdr:cNvSpPr/>
      </xdr:nvSpPr>
      <xdr:spPr>
        <a:xfrm>
          <a:off x="10966450" y="36766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23</xdr:row>
      <xdr:rowOff>76200</xdr:rowOff>
    </xdr:from>
    <xdr:to>
      <xdr:col>33</xdr:col>
      <xdr:colOff>0</xdr:colOff>
      <xdr:row>23</xdr:row>
      <xdr:rowOff>76200</xdr:rowOff>
    </xdr:to>
    <xdr:cxnSp macro="">
      <xdr:nvCxnSpPr>
        <xdr:cNvPr id="25228" name="직선 화살표 연결선 25227">
          <a:extLst>
            <a:ext uri="{FF2B5EF4-FFF2-40B4-BE49-F238E27FC236}">
              <a16:creationId xmlns:a16="http://schemas.microsoft.com/office/drawing/2014/main" id="{DF468165-E6F8-4DE1-D949-FA03086D2BE9}"/>
            </a:ext>
          </a:extLst>
        </xdr:cNvPr>
        <xdr:cNvCxnSpPr/>
      </xdr:nvCxnSpPr>
      <xdr:spPr>
        <a:xfrm>
          <a:off x="10966450" y="3733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40</xdr:col>
      <xdr:colOff>1270</xdr:colOff>
      <xdr:row>22</xdr:row>
      <xdr:rowOff>133350</xdr:rowOff>
    </xdr:to>
    <xdr:sp macro="" textlink="">
      <xdr:nvSpPr>
        <xdr:cNvPr id="25229" name="19">
          <a:extLst>
            <a:ext uri="{FF2B5EF4-FFF2-40B4-BE49-F238E27FC236}">
              <a16:creationId xmlns:a16="http://schemas.microsoft.com/office/drawing/2014/main" id="{0B61C945-118D-ECC2-7C96-9AAA43438CB7}"/>
            </a:ext>
          </a:extLst>
        </xdr:cNvPr>
        <xdr:cNvSpPr/>
      </xdr:nvSpPr>
      <xdr:spPr>
        <a:xfrm>
          <a:off x="10966450" y="3524250"/>
          <a:ext cx="458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32</xdr:col>
      <xdr:colOff>43031</xdr:colOff>
      <xdr:row>22</xdr:row>
      <xdr:rowOff>76200</xdr:rowOff>
    </xdr:to>
    <xdr:cxnSp macro="">
      <xdr:nvCxnSpPr>
        <xdr:cNvPr id="25230" name="직선 화살표 연결선 25229">
          <a:extLst>
            <a:ext uri="{FF2B5EF4-FFF2-40B4-BE49-F238E27FC236}">
              <a16:creationId xmlns:a16="http://schemas.microsoft.com/office/drawing/2014/main" id="{949169E0-2A43-31EB-5972-F7437CF92E17}"/>
            </a:ext>
          </a:extLst>
        </xdr:cNvPr>
        <xdr:cNvCxnSpPr/>
      </xdr:nvCxnSpPr>
      <xdr:spPr>
        <a:xfrm>
          <a:off x="10966450" y="3581400"/>
          <a:ext cx="430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44</xdr:col>
      <xdr:colOff>1270</xdr:colOff>
      <xdr:row>21</xdr:row>
      <xdr:rowOff>133350</xdr:rowOff>
    </xdr:to>
    <xdr:sp macro="" textlink="">
      <xdr:nvSpPr>
        <xdr:cNvPr id="25231" name="18">
          <a:extLst>
            <a:ext uri="{FF2B5EF4-FFF2-40B4-BE49-F238E27FC236}">
              <a16:creationId xmlns:a16="http://schemas.microsoft.com/office/drawing/2014/main" id="{2311B7F2-2A68-4F40-BEBB-F395CDC9408C}"/>
            </a:ext>
          </a:extLst>
        </xdr:cNvPr>
        <xdr:cNvSpPr/>
      </xdr:nvSpPr>
      <xdr:spPr>
        <a:xfrm>
          <a:off x="10966450" y="33718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32</xdr:col>
      <xdr:colOff>46692</xdr:colOff>
      <xdr:row>21</xdr:row>
      <xdr:rowOff>76200</xdr:rowOff>
    </xdr:to>
    <xdr:cxnSp macro="">
      <xdr:nvCxnSpPr>
        <xdr:cNvPr id="25232" name="직선 화살표 연결선 25231">
          <a:extLst>
            <a:ext uri="{FF2B5EF4-FFF2-40B4-BE49-F238E27FC236}">
              <a16:creationId xmlns:a16="http://schemas.microsoft.com/office/drawing/2014/main" id="{C4729B90-721D-D8EA-B3F5-165563E7D043}"/>
            </a:ext>
          </a:extLst>
        </xdr:cNvPr>
        <xdr:cNvCxnSpPr/>
      </xdr:nvCxnSpPr>
      <xdr:spPr>
        <a:xfrm>
          <a:off x="10966450" y="3429000"/>
          <a:ext cx="466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20</xdr:row>
      <xdr:rowOff>19050</xdr:rowOff>
    </xdr:from>
    <xdr:to>
      <xdr:col>37</xdr:col>
      <xdr:colOff>1270</xdr:colOff>
      <xdr:row>20</xdr:row>
      <xdr:rowOff>133350</xdr:rowOff>
    </xdr:to>
    <xdr:sp macro="" textlink="">
      <xdr:nvSpPr>
        <xdr:cNvPr id="25233" name="17">
          <a:extLst>
            <a:ext uri="{FF2B5EF4-FFF2-40B4-BE49-F238E27FC236}">
              <a16:creationId xmlns:a16="http://schemas.microsoft.com/office/drawing/2014/main" id="{A340070E-F7A6-C723-0429-305E959D500C}"/>
            </a:ext>
          </a:extLst>
        </xdr:cNvPr>
        <xdr:cNvSpPr/>
      </xdr:nvSpPr>
      <xdr:spPr>
        <a:xfrm>
          <a:off x="10966450" y="3219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20</xdr:row>
      <xdr:rowOff>76200</xdr:rowOff>
    </xdr:from>
    <xdr:to>
      <xdr:col>37</xdr:col>
      <xdr:colOff>0</xdr:colOff>
      <xdr:row>20</xdr:row>
      <xdr:rowOff>76200</xdr:rowOff>
    </xdr:to>
    <xdr:cxnSp macro="">
      <xdr:nvCxnSpPr>
        <xdr:cNvPr id="25234" name="직선 화살표 연결선 25233">
          <a:extLst>
            <a:ext uri="{FF2B5EF4-FFF2-40B4-BE49-F238E27FC236}">
              <a16:creationId xmlns:a16="http://schemas.microsoft.com/office/drawing/2014/main" id="{17756D5B-E4C3-6664-5A32-05C4B5815A61}"/>
            </a:ext>
          </a:extLst>
        </xdr:cNvPr>
        <xdr:cNvCxnSpPr/>
      </xdr:nvCxnSpPr>
      <xdr:spPr>
        <a:xfrm>
          <a:off x="10966450" y="32766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19</xdr:row>
      <xdr:rowOff>19050</xdr:rowOff>
    </xdr:from>
    <xdr:to>
      <xdr:col>37</xdr:col>
      <xdr:colOff>1270</xdr:colOff>
      <xdr:row>19</xdr:row>
      <xdr:rowOff>133350</xdr:rowOff>
    </xdr:to>
    <xdr:sp macro="" textlink="">
      <xdr:nvSpPr>
        <xdr:cNvPr id="25235" name="16">
          <a:extLst>
            <a:ext uri="{FF2B5EF4-FFF2-40B4-BE49-F238E27FC236}">
              <a16:creationId xmlns:a16="http://schemas.microsoft.com/office/drawing/2014/main" id="{1B8761A8-0F08-AB63-89F9-DBD621EBF199}"/>
            </a:ext>
          </a:extLst>
        </xdr:cNvPr>
        <xdr:cNvSpPr/>
      </xdr:nvSpPr>
      <xdr:spPr>
        <a:xfrm>
          <a:off x="10966450" y="30670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19</xdr:row>
      <xdr:rowOff>76200</xdr:rowOff>
    </xdr:from>
    <xdr:to>
      <xdr:col>37</xdr:col>
      <xdr:colOff>0</xdr:colOff>
      <xdr:row>19</xdr:row>
      <xdr:rowOff>76200</xdr:rowOff>
    </xdr:to>
    <xdr:cxnSp macro="">
      <xdr:nvCxnSpPr>
        <xdr:cNvPr id="25236" name="직선 화살표 연결선 25235">
          <a:extLst>
            <a:ext uri="{FF2B5EF4-FFF2-40B4-BE49-F238E27FC236}">
              <a16:creationId xmlns:a16="http://schemas.microsoft.com/office/drawing/2014/main" id="{F8748866-5821-29E9-B8BC-89E9C8105042}"/>
            </a:ext>
          </a:extLst>
        </xdr:cNvPr>
        <xdr:cNvCxnSpPr/>
      </xdr:nvCxnSpPr>
      <xdr:spPr>
        <a:xfrm>
          <a:off x="10966450" y="31242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18</xdr:row>
      <xdr:rowOff>19050</xdr:rowOff>
    </xdr:from>
    <xdr:to>
      <xdr:col>55</xdr:col>
      <xdr:colOff>1270</xdr:colOff>
      <xdr:row>18</xdr:row>
      <xdr:rowOff>133350</xdr:rowOff>
    </xdr:to>
    <xdr:sp macro="" textlink="">
      <xdr:nvSpPr>
        <xdr:cNvPr id="25237" name="15">
          <a:extLst>
            <a:ext uri="{FF2B5EF4-FFF2-40B4-BE49-F238E27FC236}">
              <a16:creationId xmlns:a16="http://schemas.microsoft.com/office/drawing/2014/main" id="{7D2CF596-DBB0-08CC-AD1A-8D52BD7FCD36}"/>
            </a:ext>
          </a:extLst>
        </xdr:cNvPr>
        <xdr:cNvSpPr/>
      </xdr:nvSpPr>
      <xdr:spPr>
        <a:xfrm>
          <a:off x="10966450" y="2914650"/>
          <a:ext cx="1315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18</xdr:row>
      <xdr:rowOff>76200</xdr:rowOff>
    </xdr:from>
    <xdr:to>
      <xdr:col>33</xdr:col>
      <xdr:colOff>51099</xdr:colOff>
      <xdr:row>18</xdr:row>
      <xdr:rowOff>76200</xdr:rowOff>
    </xdr:to>
    <xdr:cxnSp macro="">
      <xdr:nvCxnSpPr>
        <xdr:cNvPr id="25238" name="직선 화살표 연결선 25237">
          <a:extLst>
            <a:ext uri="{FF2B5EF4-FFF2-40B4-BE49-F238E27FC236}">
              <a16:creationId xmlns:a16="http://schemas.microsoft.com/office/drawing/2014/main" id="{4F738955-E598-AF8A-F5CB-D6B0DB5B2004}"/>
            </a:ext>
          </a:extLst>
        </xdr:cNvPr>
        <xdr:cNvCxnSpPr/>
      </xdr:nvCxnSpPr>
      <xdr:spPr>
        <a:xfrm>
          <a:off x="10966450" y="2971800"/>
          <a:ext cx="1082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17</xdr:row>
      <xdr:rowOff>19050</xdr:rowOff>
    </xdr:from>
    <xdr:to>
      <xdr:col>50</xdr:col>
      <xdr:colOff>1270</xdr:colOff>
      <xdr:row>17</xdr:row>
      <xdr:rowOff>133350</xdr:rowOff>
    </xdr:to>
    <xdr:sp macro="" textlink="">
      <xdr:nvSpPr>
        <xdr:cNvPr id="25239" name="14">
          <a:extLst>
            <a:ext uri="{FF2B5EF4-FFF2-40B4-BE49-F238E27FC236}">
              <a16:creationId xmlns:a16="http://schemas.microsoft.com/office/drawing/2014/main" id="{8F0F9543-57DA-BD4C-3F0A-C5228F622BA8}"/>
            </a:ext>
          </a:extLst>
        </xdr:cNvPr>
        <xdr:cNvSpPr/>
      </xdr:nvSpPr>
      <xdr:spPr>
        <a:xfrm>
          <a:off x="11823700" y="2762250"/>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17</xdr:row>
      <xdr:rowOff>76200</xdr:rowOff>
    </xdr:from>
    <xdr:to>
      <xdr:col>47</xdr:col>
      <xdr:colOff>0</xdr:colOff>
      <xdr:row>17</xdr:row>
      <xdr:rowOff>76200</xdr:rowOff>
    </xdr:to>
    <xdr:cxnSp macro="">
      <xdr:nvCxnSpPr>
        <xdr:cNvPr id="25240" name="직선 화살표 연결선 25239">
          <a:extLst>
            <a:ext uri="{FF2B5EF4-FFF2-40B4-BE49-F238E27FC236}">
              <a16:creationId xmlns:a16="http://schemas.microsoft.com/office/drawing/2014/main" id="{277FDA5D-0C8A-8BBD-C3C8-AFA02A8835A9}"/>
            </a:ext>
          </a:extLst>
        </xdr:cNvPr>
        <xdr:cNvCxnSpPr/>
      </xdr:nvCxnSpPr>
      <xdr:spPr>
        <a:xfrm>
          <a:off x="11823700" y="281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16</xdr:row>
      <xdr:rowOff>19050</xdr:rowOff>
    </xdr:from>
    <xdr:to>
      <xdr:col>51</xdr:col>
      <xdr:colOff>12700</xdr:colOff>
      <xdr:row>16</xdr:row>
      <xdr:rowOff>146050</xdr:rowOff>
    </xdr:to>
    <xdr:sp macro="" textlink="">
      <xdr:nvSpPr>
        <xdr:cNvPr id="25241" name="다이아몬드 25240">
          <a:extLst>
            <a:ext uri="{FF2B5EF4-FFF2-40B4-BE49-F238E27FC236}">
              <a16:creationId xmlns:a16="http://schemas.microsoft.com/office/drawing/2014/main" id="{7C5C6AD0-0DD5-762E-355B-DC3B1D7CB93D}"/>
            </a:ext>
          </a:extLst>
        </xdr:cNvPr>
        <xdr:cNvSpPr/>
      </xdr:nvSpPr>
      <xdr:spPr>
        <a:xfrm>
          <a:off x="11938000" y="2609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19050</xdr:rowOff>
    </xdr:from>
    <xdr:to>
      <xdr:col>50</xdr:col>
      <xdr:colOff>1270</xdr:colOff>
      <xdr:row>15</xdr:row>
      <xdr:rowOff>133350</xdr:rowOff>
    </xdr:to>
    <xdr:sp macro="" textlink="">
      <xdr:nvSpPr>
        <xdr:cNvPr id="25242" name="12">
          <a:extLst>
            <a:ext uri="{FF2B5EF4-FFF2-40B4-BE49-F238E27FC236}">
              <a16:creationId xmlns:a16="http://schemas.microsoft.com/office/drawing/2014/main" id="{D1720C5C-3985-8040-9DE1-993D320513DF}"/>
            </a:ext>
          </a:extLst>
        </xdr:cNvPr>
        <xdr:cNvSpPr/>
      </xdr:nvSpPr>
      <xdr:spPr>
        <a:xfrm>
          <a:off x="11938000" y="24574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76200</xdr:rowOff>
    </xdr:from>
    <xdr:to>
      <xdr:col>49</xdr:col>
      <xdr:colOff>0</xdr:colOff>
      <xdr:row>15</xdr:row>
      <xdr:rowOff>76200</xdr:rowOff>
    </xdr:to>
    <xdr:cxnSp macro="">
      <xdr:nvCxnSpPr>
        <xdr:cNvPr id="25243" name="직선 화살표 연결선 25242">
          <a:extLst>
            <a:ext uri="{FF2B5EF4-FFF2-40B4-BE49-F238E27FC236}">
              <a16:creationId xmlns:a16="http://schemas.microsoft.com/office/drawing/2014/main" id="{654CDDA8-BF66-7B78-E103-14BA881F8D27}"/>
            </a:ext>
          </a:extLst>
        </xdr:cNvPr>
        <xdr:cNvCxnSpPr/>
      </xdr:nvCxnSpPr>
      <xdr:spPr>
        <a:xfrm>
          <a:off x="11938000" y="251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xdr:row>
      <xdr:rowOff>19050</xdr:rowOff>
    </xdr:from>
    <xdr:to>
      <xdr:col>50</xdr:col>
      <xdr:colOff>1270</xdr:colOff>
      <xdr:row>14</xdr:row>
      <xdr:rowOff>133350</xdr:rowOff>
    </xdr:to>
    <xdr:sp macro="" textlink="">
      <xdr:nvSpPr>
        <xdr:cNvPr id="25244" name="11">
          <a:extLst>
            <a:ext uri="{FF2B5EF4-FFF2-40B4-BE49-F238E27FC236}">
              <a16:creationId xmlns:a16="http://schemas.microsoft.com/office/drawing/2014/main" id="{0885D4B3-8FC6-9CC1-0ECC-B7A0AECB100B}"/>
            </a:ext>
          </a:extLst>
        </xdr:cNvPr>
        <xdr:cNvSpPr/>
      </xdr:nvSpPr>
      <xdr:spPr>
        <a:xfrm>
          <a:off x="11823700" y="2305050"/>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14</xdr:row>
      <xdr:rowOff>76200</xdr:rowOff>
    </xdr:from>
    <xdr:to>
      <xdr:col>47</xdr:col>
      <xdr:colOff>0</xdr:colOff>
      <xdr:row>14</xdr:row>
      <xdr:rowOff>76200</xdr:rowOff>
    </xdr:to>
    <xdr:cxnSp macro="">
      <xdr:nvCxnSpPr>
        <xdr:cNvPr id="25245" name="직선 화살표 연결선 25244">
          <a:extLst>
            <a:ext uri="{FF2B5EF4-FFF2-40B4-BE49-F238E27FC236}">
              <a16:creationId xmlns:a16="http://schemas.microsoft.com/office/drawing/2014/main" id="{7225FD61-062A-F0AB-EEEA-6C6125ED2897}"/>
            </a:ext>
          </a:extLst>
        </xdr:cNvPr>
        <xdr:cNvCxnSpPr/>
      </xdr:nvCxnSpPr>
      <xdr:spPr>
        <a:xfrm>
          <a:off x="11823700" y="236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13</xdr:row>
      <xdr:rowOff>19050</xdr:rowOff>
    </xdr:from>
    <xdr:to>
      <xdr:col>41</xdr:col>
      <xdr:colOff>1270</xdr:colOff>
      <xdr:row>13</xdr:row>
      <xdr:rowOff>133350</xdr:rowOff>
    </xdr:to>
    <xdr:sp macro="" textlink="">
      <xdr:nvSpPr>
        <xdr:cNvPr id="25246" name="10">
          <a:extLst>
            <a:ext uri="{FF2B5EF4-FFF2-40B4-BE49-F238E27FC236}">
              <a16:creationId xmlns:a16="http://schemas.microsoft.com/office/drawing/2014/main" id="{C9D22F6B-A3B5-BFAA-774C-E851531BE813}"/>
            </a:ext>
          </a:extLst>
        </xdr:cNvPr>
        <xdr:cNvSpPr/>
      </xdr:nvSpPr>
      <xdr:spPr>
        <a:xfrm>
          <a:off x="11423650" y="21526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13</xdr:row>
      <xdr:rowOff>76200</xdr:rowOff>
    </xdr:from>
    <xdr:to>
      <xdr:col>40</xdr:col>
      <xdr:colOff>28575</xdr:colOff>
      <xdr:row>13</xdr:row>
      <xdr:rowOff>76200</xdr:rowOff>
    </xdr:to>
    <xdr:cxnSp macro="">
      <xdr:nvCxnSpPr>
        <xdr:cNvPr id="25247" name="직선 화살표 연결선 25246">
          <a:extLst>
            <a:ext uri="{FF2B5EF4-FFF2-40B4-BE49-F238E27FC236}">
              <a16:creationId xmlns:a16="http://schemas.microsoft.com/office/drawing/2014/main" id="{1F9C6623-5872-9198-31E0-AADB3C69414F}"/>
            </a:ext>
          </a:extLst>
        </xdr:cNvPr>
        <xdr:cNvCxnSpPr/>
      </xdr:nvCxnSpPr>
      <xdr:spPr>
        <a:xfrm>
          <a:off x="11423650" y="2209800"/>
          <a:ext cx="285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12</xdr:row>
      <xdr:rowOff>19050</xdr:rowOff>
    </xdr:from>
    <xdr:to>
      <xdr:col>41</xdr:col>
      <xdr:colOff>1270</xdr:colOff>
      <xdr:row>12</xdr:row>
      <xdr:rowOff>133350</xdr:rowOff>
    </xdr:to>
    <xdr:sp macro="" textlink="">
      <xdr:nvSpPr>
        <xdr:cNvPr id="25248" name="9">
          <a:extLst>
            <a:ext uri="{FF2B5EF4-FFF2-40B4-BE49-F238E27FC236}">
              <a16:creationId xmlns:a16="http://schemas.microsoft.com/office/drawing/2014/main" id="{D3D77DA5-F7E6-9A97-6FB5-EB24F99599F4}"/>
            </a:ext>
          </a:extLst>
        </xdr:cNvPr>
        <xdr:cNvSpPr/>
      </xdr:nvSpPr>
      <xdr:spPr>
        <a:xfrm>
          <a:off x="11423650" y="20002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12</xdr:row>
      <xdr:rowOff>76200</xdr:rowOff>
    </xdr:from>
    <xdr:to>
      <xdr:col>40</xdr:col>
      <xdr:colOff>28575</xdr:colOff>
      <xdr:row>12</xdr:row>
      <xdr:rowOff>76200</xdr:rowOff>
    </xdr:to>
    <xdr:cxnSp macro="">
      <xdr:nvCxnSpPr>
        <xdr:cNvPr id="25249" name="직선 화살표 연결선 25248">
          <a:extLst>
            <a:ext uri="{FF2B5EF4-FFF2-40B4-BE49-F238E27FC236}">
              <a16:creationId xmlns:a16="http://schemas.microsoft.com/office/drawing/2014/main" id="{F6BF0B38-97DA-6B89-0F7F-276FAA6A3A2B}"/>
            </a:ext>
          </a:extLst>
        </xdr:cNvPr>
        <xdr:cNvCxnSpPr/>
      </xdr:nvCxnSpPr>
      <xdr:spPr>
        <a:xfrm>
          <a:off x="11423650" y="2057400"/>
          <a:ext cx="285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11</xdr:row>
      <xdr:rowOff>19050</xdr:rowOff>
    </xdr:from>
    <xdr:to>
      <xdr:col>41</xdr:col>
      <xdr:colOff>12700</xdr:colOff>
      <xdr:row>11</xdr:row>
      <xdr:rowOff>146050</xdr:rowOff>
    </xdr:to>
    <xdr:sp macro="" textlink="">
      <xdr:nvSpPr>
        <xdr:cNvPr id="25250" name="다이아몬드 25249">
          <a:extLst>
            <a:ext uri="{FF2B5EF4-FFF2-40B4-BE49-F238E27FC236}">
              <a16:creationId xmlns:a16="http://schemas.microsoft.com/office/drawing/2014/main" id="{575B7A72-2210-D1DB-D700-F68808D6C0BA}"/>
            </a:ext>
          </a:extLst>
        </xdr:cNvPr>
        <xdr:cNvSpPr/>
      </xdr:nvSpPr>
      <xdr:spPr>
        <a:xfrm>
          <a:off x="11366500" y="1847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19050</xdr:rowOff>
    </xdr:from>
    <xdr:to>
      <xdr:col>37</xdr:col>
      <xdr:colOff>1270</xdr:colOff>
      <xdr:row>10</xdr:row>
      <xdr:rowOff>133350</xdr:rowOff>
    </xdr:to>
    <xdr:sp macro="" textlink="">
      <xdr:nvSpPr>
        <xdr:cNvPr id="25251" name="7">
          <a:extLst>
            <a:ext uri="{FF2B5EF4-FFF2-40B4-BE49-F238E27FC236}">
              <a16:creationId xmlns:a16="http://schemas.microsoft.com/office/drawing/2014/main" id="{D842FF52-4F23-300B-7C5B-1597710BFFA2}"/>
            </a:ext>
          </a:extLst>
        </xdr:cNvPr>
        <xdr:cNvSpPr/>
      </xdr:nvSpPr>
      <xdr:spPr>
        <a:xfrm>
          <a:off x="10966450" y="1695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32</xdr:col>
      <xdr:colOff>0</xdr:colOff>
      <xdr:row>10</xdr:row>
      <xdr:rowOff>76200</xdr:rowOff>
    </xdr:to>
    <xdr:cxnSp macro="">
      <xdr:nvCxnSpPr>
        <xdr:cNvPr id="25252" name="직선 화살표 연결선 25251">
          <a:extLst>
            <a:ext uri="{FF2B5EF4-FFF2-40B4-BE49-F238E27FC236}">
              <a16:creationId xmlns:a16="http://schemas.microsoft.com/office/drawing/2014/main" id="{02AF5F84-1594-7F03-4F5A-1361D2C6C639}"/>
            </a:ext>
          </a:extLst>
        </xdr:cNvPr>
        <xdr:cNvCxnSpPr/>
      </xdr:nvCxnSpPr>
      <xdr:spPr>
        <a:xfrm>
          <a:off x="10966450" y="175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9</xdr:row>
      <xdr:rowOff>19050</xdr:rowOff>
    </xdr:from>
    <xdr:to>
      <xdr:col>37</xdr:col>
      <xdr:colOff>1270</xdr:colOff>
      <xdr:row>9</xdr:row>
      <xdr:rowOff>133350</xdr:rowOff>
    </xdr:to>
    <xdr:sp macro="" textlink="">
      <xdr:nvSpPr>
        <xdr:cNvPr id="25253" name="6">
          <a:extLst>
            <a:ext uri="{FF2B5EF4-FFF2-40B4-BE49-F238E27FC236}">
              <a16:creationId xmlns:a16="http://schemas.microsoft.com/office/drawing/2014/main" id="{628B9759-5071-6B70-BF23-B8875A78A0B5}"/>
            </a:ext>
          </a:extLst>
        </xdr:cNvPr>
        <xdr:cNvSpPr/>
      </xdr:nvSpPr>
      <xdr:spPr>
        <a:xfrm>
          <a:off x="10966450" y="1543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9</xdr:row>
      <xdr:rowOff>76200</xdr:rowOff>
    </xdr:from>
    <xdr:to>
      <xdr:col>32</xdr:col>
      <xdr:colOff>0</xdr:colOff>
      <xdr:row>9</xdr:row>
      <xdr:rowOff>76200</xdr:rowOff>
    </xdr:to>
    <xdr:cxnSp macro="">
      <xdr:nvCxnSpPr>
        <xdr:cNvPr id="25254" name="직선 화살표 연결선 25253">
          <a:extLst>
            <a:ext uri="{FF2B5EF4-FFF2-40B4-BE49-F238E27FC236}">
              <a16:creationId xmlns:a16="http://schemas.microsoft.com/office/drawing/2014/main" id="{CF51EDD3-C445-6A9B-0576-E5C506E6D918}"/>
            </a:ext>
          </a:extLst>
        </xdr:cNvPr>
        <xdr:cNvCxnSpPr/>
      </xdr:nvCxnSpPr>
      <xdr:spPr>
        <a:xfrm>
          <a:off x="10966450" y="160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8</xdr:row>
      <xdr:rowOff>19050</xdr:rowOff>
    </xdr:from>
    <xdr:to>
      <xdr:col>37</xdr:col>
      <xdr:colOff>1270</xdr:colOff>
      <xdr:row>8</xdr:row>
      <xdr:rowOff>133350</xdr:rowOff>
    </xdr:to>
    <xdr:sp macro="" textlink="">
      <xdr:nvSpPr>
        <xdr:cNvPr id="25255" name="5">
          <a:extLst>
            <a:ext uri="{FF2B5EF4-FFF2-40B4-BE49-F238E27FC236}">
              <a16:creationId xmlns:a16="http://schemas.microsoft.com/office/drawing/2014/main" id="{9D535AB7-FBA0-0268-C9AB-0100E77CC146}"/>
            </a:ext>
          </a:extLst>
        </xdr:cNvPr>
        <xdr:cNvSpPr/>
      </xdr:nvSpPr>
      <xdr:spPr>
        <a:xfrm>
          <a:off x="10966450" y="1390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8</xdr:row>
      <xdr:rowOff>76200</xdr:rowOff>
    </xdr:from>
    <xdr:to>
      <xdr:col>32</xdr:col>
      <xdr:colOff>0</xdr:colOff>
      <xdr:row>8</xdr:row>
      <xdr:rowOff>76200</xdr:rowOff>
    </xdr:to>
    <xdr:cxnSp macro="">
      <xdr:nvCxnSpPr>
        <xdr:cNvPr id="25256" name="직선 화살표 연결선 25255">
          <a:extLst>
            <a:ext uri="{FF2B5EF4-FFF2-40B4-BE49-F238E27FC236}">
              <a16:creationId xmlns:a16="http://schemas.microsoft.com/office/drawing/2014/main" id="{24EE14AE-E6E3-F92F-4852-142AFD49B6CC}"/>
            </a:ext>
          </a:extLst>
        </xdr:cNvPr>
        <xdr:cNvCxnSpPr/>
      </xdr:nvCxnSpPr>
      <xdr:spPr>
        <a:xfrm>
          <a:off x="10966450" y="144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40</xdr:col>
      <xdr:colOff>1270</xdr:colOff>
      <xdr:row>7</xdr:row>
      <xdr:rowOff>133350</xdr:rowOff>
    </xdr:to>
    <xdr:sp macro="" textlink="">
      <xdr:nvSpPr>
        <xdr:cNvPr id="25257" name="4">
          <a:extLst>
            <a:ext uri="{FF2B5EF4-FFF2-40B4-BE49-F238E27FC236}">
              <a16:creationId xmlns:a16="http://schemas.microsoft.com/office/drawing/2014/main" id="{5481FB1F-7F3B-EEE3-EB5F-B15C27A20BD8}"/>
            </a:ext>
          </a:extLst>
        </xdr:cNvPr>
        <xdr:cNvSpPr/>
      </xdr:nvSpPr>
      <xdr:spPr>
        <a:xfrm>
          <a:off x="10966450" y="1238250"/>
          <a:ext cx="458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7</xdr:row>
      <xdr:rowOff>76200</xdr:rowOff>
    </xdr:from>
    <xdr:to>
      <xdr:col>32</xdr:col>
      <xdr:colOff>0</xdr:colOff>
      <xdr:row>7</xdr:row>
      <xdr:rowOff>76200</xdr:rowOff>
    </xdr:to>
    <xdr:cxnSp macro="">
      <xdr:nvCxnSpPr>
        <xdr:cNvPr id="25258" name="직선 화살표 연결선 25257">
          <a:extLst>
            <a:ext uri="{FF2B5EF4-FFF2-40B4-BE49-F238E27FC236}">
              <a16:creationId xmlns:a16="http://schemas.microsoft.com/office/drawing/2014/main" id="{7B9C6387-588F-C9F1-35EF-020AF017C04A}"/>
            </a:ext>
          </a:extLst>
        </xdr:cNvPr>
        <xdr:cNvCxnSpPr/>
      </xdr:nvCxnSpPr>
      <xdr:spPr>
        <a:xfrm>
          <a:off x="10966450" y="129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50</xdr:col>
      <xdr:colOff>1270</xdr:colOff>
      <xdr:row>6</xdr:row>
      <xdr:rowOff>133350</xdr:rowOff>
    </xdr:to>
    <xdr:sp macro="" textlink="">
      <xdr:nvSpPr>
        <xdr:cNvPr id="25259" name="3">
          <a:extLst>
            <a:ext uri="{FF2B5EF4-FFF2-40B4-BE49-F238E27FC236}">
              <a16:creationId xmlns:a16="http://schemas.microsoft.com/office/drawing/2014/main" id="{1BD15BA2-8E28-B826-1EA3-73D463C31C43}"/>
            </a:ext>
          </a:extLst>
        </xdr:cNvPr>
        <xdr:cNvSpPr/>
      </xdr:nvSpPr>
      <xdr:spPr>
        <a:xfrm>
          <a:off x="10966450" y="1085850"/>
          <a:ext cx="1029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50</xdr:col>
      <xdr:colOff>0</xdr:colOff>
      <xdr:row>6</xdr:row>
      <xdr:rowOff>76200</xdr:rowOff>
    </xdr:to>
    <xdr:cxnSp macro="">
      <xdr:nvCxnSpPr>
        <xdr:cNvPr id="25260" name="직선 화살표 연결선 25259">
          <a:extLst>
            <a:ext uri="{FF2B5EF4-FFF2-40B4-BE49-F238E27FC236}">
              <a16:creationId xmlns:a16="http://schemas.microsoft.com/office/drawing/2014/main" id="{017C174B-C40D-25C1-0716-D2A0E170632C}"/>
            </a:ext>
          </a:extLst>
        </xdr:cNvPr>
        <xdr:cNvCxnSpPr/>
      </xdr:nvCxnSpPr>
      <xdr:spPr>
        <a:xfrm>
          <a:off x="10966450" y="11430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50</xdr:col>
      <xdr:colOff>1270</xdr:colOff>
      <xdr:row>5</xdr:row>
      <xdr:rowOff>133350</xdr:rowOff>
    </xdr:to>
    <xdr:sp macro="" textlink="">
      <xdr:nvSpPr>
        <xdr:cNvPr id="25261" name="2">
          <a:extLst>
            <a:ext uri="{FF2B5EF4-FFF2-40B4-BE49-F238E27FC236}">
              <a16:creationId xmlns:a16="http://schemas.microsoft.com/office/drawing/2014/main" id="{C26700A7-02E2-A00D-3D56-081238C75311}"/>
            </a:ext>
          </a:extLst>
        </xdr:cNvPr>
        <xdr:cNvSpPr/>
      </xdr:nvSpPr>
      <xdr:spPr>
        <a:xfrm>
          <a:off x="10966450" y="9334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43</xdr:col>
      <xdr:colOff>33385</xdr:colOff>
      <xdr:row>5</xdr:row>
      <xdr:rowOff>76200</xdr:rowOff>
    </xdr:to>
    <xdr:cxnSp macro="">
      <xdr:nvCxnSpPr>
        <xdr:cNvPr id="25262" name="직선 화살표 연결선 25261">
          <a:extLst>
            <a:ext uri="{FF2B5EF4-FFF2-40B4-BE49-F238E27FC236}">
              <a16:creationId xmlns:a16="http://schemas.microsoft.com/office/drawing/2014/main" id="{40AF2B90-5C23-7880-C8F5-9DB76B2BE33C}"/>
            </a:ext>
          </a:extLst>
        </xdr:cNvPr>
        <xdr:cNvCxnSpPr/>
      </xdr:nvCxnSpPr>
      <xdr:spPr>
        <a:xfrm>
          <a:off x="10966450" y="990600"/>
          <a:ext cx="6620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50</xdr:col>
      <xdr:colOff>1270</xdr:colOff>
      <xdr:row>4</xdr:row>
      <xdr:rowOff>133350</xdr:rowOff>
    </xdr:to>
    <xdr:sp macro="" textlink="">
      <xdr:nvSpPr>
        <xdr:cNvPr id="25263" name="1">
          <a:extLst>
            <a:ext uri="{FF2B5EF4-FFF2-40B4-BE49-F238E27FC236}">
              <a16:creationId xmlns:a16="http://schemas.microsoft.com/office/drawing/2014/main" id="{B9976ADB-2D0F-C412-E75C-C0E739717D2B}"/>
            </a:ext>
          </a:extLst>
        </xdr:cNvPr>
        <xdr:cNvSpPr/>
      </xdr:nvSpPr>
      <xdr:spPr>
        <a:xfrm>
          <a:off x="10966450" y="7810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43</xdr:col>
      <xdr:colOff>7009</xdr:colOff>
      <xdr:row>4</xdr:row>
      <xdr:rowOff>76200</xdr:rowOff>
    </xdr:to>
    <xdr:cxnSp macro="">
      <xdr:nvCxnSpPr>
        <xdr:cNvPr id="25264" name="직선 화살표 연결선 25263">
          <a:extLst>
            <a:ext uri="{FF2B5EF4-FFF2-40B4-BE49-F238E27FC236}">
              <a16:creationId xmlns:a16="http://schemas.microsoft.com/office/drawing/2014/main" id="{34474C4C-9315-4B64-9337-9817DA675136}"/>
            </a:ext>
          </a:extLst>
        </xdr:cNvPr>
        <xdr:cNvCxnSpPr/>
      </xdr:nvCxnSpPr>
      <xdr:spPr>
        <a:xfrm>
          <a:off x="10966450" y="838200"/>
          <a:ext cx="6356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173038</xdr:colOff>
      <xdr:row>5</xdr:row>
      <xdr:rowOff>0</xdr:rowOff>
    </xdr:from>
    <xdr:to>
      <xdr:col>18</xdr:col>
      <xdr:colOff>592138</xdr:colOff>
      <xdr:row>17</xdr:row>
      <xdr:rowOff>165100</xdr:rowOff>
    </xdr:to>
    <xdr:graphicFrame macro="">
      <xdr:nvGraphicFramePr>
        <xdr:cNvPr id="2" name="차트 1">
          <a:extLst>
            <a:ext uri="{FF2B5EF4-FFF2-40B4-BE49-F238E27FC236}">
              <a16:creationId xmlns:a16="http://schemas.microsoft.com/office/drawing/2014/main" id="{1FA6D655-793F-489F-9CAD-B93FB4594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
  <cols>
    <col min="1" max="1" width="27.58203125" style="73" bestFit="1" customWidth="1"/>
    <col min="2" max="2" width="35.58203125" style="70" bestFit="1" customWidth="1"/>
    <col min="3" max="3" width="53.25" style="70" bestFit="1" customWidth="1"/>
    <col min="4" max="4" width="27.25" style="70" bestFit="1" customWidth="1"/>
    <col min="5" max="5" width="12.75" style="70" bestFit="1" customWidth="1"/>
    <col min="6" max="6" width="21.25" style="70" bestFit="1" customWidth="1"/>
    <col min="7" max="7" width="25.08203125" style="73" bestFit="1" customWidth="1"/>
    <col min="8" max="8" width="23.58203125" style="73" bestFit="1" customWidth="1"/>
    <col min="9" max="9" width="9.5" style="73" bestFit="1" customWidth="1"/>
    <col min="10" max="10" width="22.5" style="73" bestFit="1" customWidth="1"/>
    <col min="11" max="11" width="60.75" style="73" bestFit="1" customWidth="1"/>
    <col min="12" max="12" width="25.08203125" style="73" bestFit="1" customWidth="1"/>
    <col min="13" max="13" width="4.75" style="73" bestFit="1" customWidth="1"/>
    <col min="14" max="14" width="23" style="73" bestFit="1" customWidth="1"/>
    <col min="15" max="15" width="8" style="73" bestFit="1" customWidth="1"/>
    <col min="16" max="16" width="28.33203125" style="73" bestFit="1" customWidth="1"/>
    <col min="17" max="17" width="6" style="73" bestFit="1" customWidth="1"/>
    <col min="18" max="18" width="27.75" style="73" bestFit="1" customWidth="1"/>
    <col min="19" max="19" width="4.75" style="73" bestFit="1" customWidth="1"/>
    <col min="20" max="20" width="24.33203125" style="73" bestFit="1" customWidth="1"/>
    <col min="21" max="21" width="4.25" style="73" bestFit="1" customWidth="1"/>
    <col min="22" max="22" width="28.83203125" style="73" bestFit="1" customWidth="1"/>
    <col min="23" max="23" width="8" style="73" bestFit="1" customWidth="1"/>
    <col min="24" max="24" width="22.58203125" style="73" bestFit="1" customWidth="1"/>
    <col min="25" max="25" width="4.83203125" style="73" bestFit="1" customWidth="1"/>
    <col min="26" max="26" width="24.33203125" style="73" bestFit="1" customWidth="1"/>
    <col min="27" max="27" width="7.33203125" style="73" hidden="1" customWidth="1"/>
    <col min="28" max="28" width="19.75" style="73" bestFit="1" customWidth="1"/>
    <col min="29" max="29" width="4.25" style="73" bestFit="1" customWidth="1"/>
    <col min="30" max="30" width="15.33203125" style="73" bestFit="1" customWidth="1"/>
    <col min="31" max="31" width="39.58203125" style="73" bestFit="1" customWidth="1"/>
    <col min="32" max="32" width="35.75" style="73" bestFit="1" customWidth="1"/>
    <col min="33" max="33" width="4.83203125" style="73" bestFit="1" customWidth="1"/>
    <col min="34" max="34" width="24.25" style="73" bestFit="1" customWidth="1"/>
    <col min="35" max="35" width="8.75" style="73" bestFit="1" customWidth="1"/>
    <col min="36" max="36" width="26" style="73" bestFit="1" customWidth="1"/>
    <col min="37" max="37" width="4.58203125" style="73" bestFit="1" customWidth="1"/>
    <col min="38" max="38" width="35.58203125" style="73" bestFit="1" customWidth="1"/>
    <col min="39" max="39" width="33.33203125" style="73" bestFit="1" customWidth="1"/>
    <col min="40" max="40" width="22.58203125" style="73" bestFit="1" customWidth="1"/>
    <col min="41" max="41" width="5.25" style="73" bestFit="1" customWidth="1"/>
    <col min="42" max="42" width="16.58203125" style="73" bestFit="1" customWidth="1"/>
    <col min="43" max="43" width="93.33203125" style="73" bestFit="1" customWidth="1"/>
    <col min="44" max="44" width="21" style="73" bestFit="1" customWidth="1"/>
    <col min="45" max="45" width="5.5" style="73" bestFit="1" customWidth="1"/>
    <col min="46" max="46" width="14.83203125" style="73" bestFit="1" customWidth="1"/>
    <col min="47" max="47" width="28.58203125" style="73" bestFit="1" customWidth="1"/>
    <col min="48" max="48" width="22.58203125" style="73" bestFit="1" customWidth="1"/>
    <col min="49" max="49" width="4.83203125" style="73" bestFit="1" customWidth="1"/>
    <col min="50" max="50" width="15.58203125" style="73" bestFit="1" customWidth="1"/>
    <col min="51" max="51" width="10" style="73"/>
    <col min="52" max="52" width="13.08203125" style="73" bestFit="1" customWidth="1"/>
    <col min="53" max="53" width="10" style="73"/>
    <col min="54" max="54" width="14.83203125" style="73" bestFit="1" customWidth="1"/>
    <col min="55" max="55" width="10" style="73"/>
    <col min="56" max="56" width="22.58203125" style="73" bestFit="1" customWidth="1"/>
    <col min="57" max="57" width="10" style="73"/>
    <col min="58" max="58" width="15.58203125" style="73" bestFit="1" customWidth="1"/>
    <col min="59" max="59" width="10" style="73"/>
    <col min="60" max="60" width="13.08203125" style="73" bestFit="1" customWidth="1"/>
    <col min="61" max="61" width="10" style="73"/>
    <col min="62" max="62" width="14.83203125" style="73" bestFit="1" customWidth="1"/>
    <col min="63" max="63" width="10" style="73"/>
    <col min="64" max="64" width="22.582031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
      <c r="A6" s="71" t="s">
        <v>15</v>
      </c>
      <c r="B6" s="214" t="s">
        <v>1412</v>
      </c>
      <c r="C6" s="72"/>
      <c r="D6" s="72"/>
      <c r="E6" s="72" t="s">
        <v>11</v>
      </c>
      <c r="F6" s="72"/>
    </row>
    <row r="7" spans="1:64">
      <c r="A7" s="71" t="s">
        <v>16</v>
      </c>
      <c r="B7" s="71" t="s">
        <v>10</v>
      </c>
      <c r="C7" s="72"/>
      <c r="D7" s="72"/>
      <c r="E7" s="72" t="s">
        <v>11</v>
      </c>
      <c r="F7" s="72"/>
    </row>
    <row r="8" spans="1:64">
      <c r="A8" s="71" t="s">
        <v>17</v>
      </c>
      <c r="B8" s="74" t="s">
        <v>1524</v>
      </c>
      <c r="C8" s="72" t="s">
        <v>1409</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1530</v>
      </c>
      <c r="D11" s="70" t="s">
        <v>23</v>
      </c>
      <c r="E11" s="79">
        <v>1</v>
      </c>
      <c r="F11" s="80" t="s">
        <v>24</v>
      </c>
      <c r="G11" s="81">
        <v>44683</v>
      </c>
      <c r="H11" s="80" t="s">
        <v>25</v>
      </c>
      <c r="I11" s="81">
        <v>44705</v>
      </c>
      <c r="J11" s="73" t="s">
        <v>403</v>
      </c>
      <c r="K11" s="73" t="s">
        <v>1410</v>
      </c>
      <c r="L11" s="73" t="s">
        <v>400</v>
      </c>
      <c r="M11" s="73">
        <v>1</v>
      </c>
      <c r="N11" s="78" t="s">
        <v>26</v>
      </c>
      <c r="O11" s="70">
        <v>0</v>
      </c>
      <c r="P11" s="70" t="s">
        <v>27</v>
      </c>
      <c r="Q11" s="78" t="s">
        <v>1366</v>
      </c>
      <c r="R11" s="73" t="s">
        <v>405</v>
      </c>
      <c r="S11" s="73">
        <v>1</v>
      </c>
      <c r="T11" s="73" t="s">
        <v>410</v>
      </c>
      <c r="U11" s="73">
        <v>1</v>
      </c>
      <c r="V11" s="73" t="s">
        <v>411</v>
      </c>
      <c r="W11" s="73">
        <v>1</v>
      </c>
      <c r="X11" s="73" t="s">
        <v>414</v>
      </c>
      <c r="Y11" s="73">
        <v>1</v>
      </c>
      <c r="Z11" s="73" t="s">
        <v>563</v>
      </c>
      <c r="AA11" s="73">
        <v>0</v>
      </c>
      <c r="AB11" s="73" t="s">
        <v>965</v>
      </c>
      <c r="AC11" s="73">
        <v>1</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1</v>
      </c>
      <c r="N12" s="73" t="s">
        <v>396</v>
      </c>
      <c r="O12" s="73">
        <v>1</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0</v>
      </c>
      <c r="AH12" s="73" t="s">
        <v>972</v>
      </c>
      <c r="AI12" s="73">
        <v>9</v>
      </c>
      <c r="AJ12" s="73" t="s">
        <v>1251</v>
      </c>
      <c r="AK12" s="73">
        <v>1</v>
      </c>
      <c r="AL12" s="73" t="s">
        <v>1252</v>
      </c>
      <c r="AM12" s="73">
        <v>1</v>
      </c>
      <c r="AN12" s="73" t="s">
        <v>1253</v>
      </c>
      <c r="AO12" s="73">
        <v>1</v>
      </c>
      <c r="AP12" s="73" t="s">
        <v>1254</v>
      </c>
      <c r="AQ12" s="135" t="s">
        <v>1365</v>
      </c>
      <c r="AR12" s="73" t="s">
        <v>1401</v>
      </c>
      <c r="AS12" s="73">
        <v>-4131</v>
      </c>
    </row>
    <row r="13" spans="1:64">
      <c r="A13" s="72" t="s">
        <v>387</v>
      </c>
      <c r="B13" s="78" t="s">
        <v>28</v>
      </c>
      <c r="C13" s="70">
        <v>0</v>
      </c>
      <c r="D13" s="78" t="s">
        <v>29</v>
      </c>
      <c r="E13" s="70" t="s">
        <v>1316</v>
      </c>
      <c r="F13" s="70" t="s">
        <v>30</v>
      </c>
      <c r="G13" s="80" t="s">
        <v>528</v>
      </c>
      <c r="H13" s="80" t="s">
        <v>31</v>
      </c>
      <c r="I13" s="73" t="s">
        <v>528</v>
      </c>
    </row>
    <row r="14" spans="1:64">
      <c r="A14" s="72" t="s">
        <v>388</v>
      </c>
      <c r="B14" s="79" t="s">
        <v>32</v>
      </c>
      <c r="C14" s="79" t="s">
        <v>1531</v>
      </c>
      <c r="D14" s="79" t="s">
        <v>33</v>
      </c>
      <c r="E14" s="79" t="s">
        <v>540</v>
      </c>
      <c r="F14" s="79" t="s">
        <v>34</v>
      </c>
      <c r="G14" s="79" t="s">
        <v>1532</v>
      </c>
      <c r="H14" s="79" t="s">
        <v>35</v>
      </c>
      <c r="I14" s="79" t="b">
        <v>0</v>
      </c>
      <c r="J14" s="79" t="s">
        <v>36</v>
      </c>
      <c r="K14" s="79" t="s">
        <v>1533</v>
      </c>
      <c r="L14" s="79" t="s">
        <v>37</v>
      </c>
      <c r="M14" s="79" t="s">
        <v>551</v>
      </c>
      <c r="N14" s="79" t="s">
        <v>38</v>
      </c>
      <c r="O14" s="79" t="s">
        <v>1532</v>
      </c>
      <c r="P14" s="79" t="s">
        <v>39</v>
      </c>
      <c r="Q14" s="79" t="b">
        <v>0</v>
      </c>
      <c r="R14" s="79" t="s">
        <v>40</v>
      </c>
      <c r="S14" s="79" t="s">
        <v>1534</v>
      </c>
      <c r="T14" s="79" t="s">
        <v>41</v>
      </c>
      <c r="U14" s="79" t="s">
        <v>552</v>
      </c>
      <c r="V14" s="79" t="s">
        <v>42</v>
      </c>
      <c r="W14" s="79" t="s">
        <v>1532</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1336</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5"/>
  <cols>
    <col min="1" max="1" width="5.83203125" style="103" customWidth="1"/>
    <col min="2" max="2" width="29.8320312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4" t="s">
        <v>1414</v>
      </c>
      <c r="B1" s="245"/>
      <c r="C1" s="245"/>
      <c r="D1" s="245"/>
      <c r="E1" s="245"/>
      <c r="F1" s="245"/>
      <c r="G1" s="245"/>
      <c r="H1" s="182"/>
      <c r="I1" s="182"/>
      <c r="J1" s="237" t="s">
        <v>1525</v>
      </c>
      <c r="K1" s="238"/>
      <c r="L1" s="238"/>
      <c r="M1" s="183"/>
    </row>
    <row r="2" spans="1:13" s="104" customFormat="1" ht="33.75" customHeight="1">
      <c r="A2" s="246"/>
      <c r="B2" s="247"/>
      <c r="C2" s="247"/>
      <c r="D2" s="247"/>
      <c r="E2" s="247"/>
      <c r="F2" s="247"/>
      <c r="G2" s="247"/>
      <c r="H2" s="242" t="s">
        <v>1415</v>
      </c>
      <c r="I2" s="243"/>
      <c r="J2" s="243"/>
      <c r="K2" s="243"/>
      <c r="L2" s="243"/>
      <c r="M2" s="184"/>
    </row>
    <row r="4" spans="1:13" ht="17.25" customHeight="1">
      <c r="B4" s="239" t="s">
        <v>1416</v>
      </c>
      <c r="C4" s="239"/>
      <c r="D4" s="239"/>
      <c r="E4" s="239"/>
      <c r="F4" s="239"/>
      <c r="G4" s="239"/>
      <c r="H4" s="239"/>
      <c r="I4" s="239"/>
      <c r="J4" s="239"/>
      <c r="K4" s="239"/>
      <c r="L4" s="239"/>
    </row>
    <row r="5" spans="1:13" ht="27.75" customHeight="1">
      <c r="B5" s="239"/>
      <c r="C5" s="239"/>
      <c r="D5" s="239"/>
      <c r="E5" s="239"/>
      <c r="F5" s="239"/>
      <c r="G5" s="239"/>
      <c r="H5" s="239"/>
      <c r="I5" s="239"/>
      <c r="J5" s="239"/>
      <c r="K5" s="239"/>
      <c r="L5" s="239"/>
    </row>
    <row r="6" spans="1:13" s="104" customFormat="1" ht="13">
      <c r="B6" s="105"/>
    </row>
    <row r="7" spans="1:13" s="104" customFormat="1" ht="18.5">
      <c r="B7" s="106" t="s">
        <v>1417</v>
      </c>
      <c r="D7" s="107"/>
    </row>
    <row r="8" spans="1:13" s="104" customFormat="1" ht="7.5" customHeight="1">
      <c r="B8" s="105"/>
    </row>
    <row r="9" spans="1:13" s="104" customFormat="1" ht="34.5" customHeight="1" thickBot="1">
      <c r="A9" s="108"/>
      <c r="B9" s="109" t="s">
        <v>533</v>
      </c>
      <c r="C9" s="108"/>
      <c r="D9" s="241" t="s">
        <v>1147</v>
      </c>
      <c r="E9" s="241"/>
      <c r="F9" s="241"/>
      <c r="G9" s="241"/>
      <c r="H9" s="241"/>
      <c r="I9" s="241"/>
      <c r="J9" s="241"/>
      <c r="K9" s="241"/>
      <c r="L9" s="241"/>
    </row>
    <row r="10" spans="1:13" s="104" customFormat="1" ht="27.75" customHeight="1" thickTop="1" thickBot="1">
      <c r="A10" s="108"/>
      <c r="B10" s="110" t="s">
        <v>534</v>
      </c>
      <c r="C10" s="108"/>
      <c r="D10" s="241" t="s">
        <v>1418</v>
      </c>
      <c r="E10" s="241"/>
      <c r="F10" s="241"/>
      <c r="G10" s="241"/>
      <c r="H10" s="241"/>
      <c r="I10" s="241"/>
      <c r="J10" s="241"/>
      <c r="K10" s="241"/>
      <c r="L10" s="241"/>
    </row>
    <row r="11" spans="1:13" s="104" customFormat="1" ht="27.75" customHeight="1" thickTop="1" thickBot="1">
      <c r="A11" s="108"/>
      <c r="B11" s="111" t="s">
        <v>535</v>
      </c>
      <c r="C11" s="108"/>
      <c r="D11" s="241" t="s">
        <v>1419</v>
      </c>
      <c r="E11" s="241"/>
      <c r="F11" s="241"/>
      <c r="G11" s="241"/>
      <c r="H11" s="241"/>
      <c r="I11" s="241"/>
      <c r="J11" s="241"/>
      <c r="K11" s="241"/>
      <c r="L11" s="241"/>
    </row>
    <row r="12" spans="1:13" s="104" customFormat="1" ht="27.75" customHeight="1" thickTop="1" thickBot="1">
      <c r="A12" s="108"/>
      <c r="B12" s="112" t="s">
        <v>536</v>
      </c>
      <c r="C12" s="108"/>
      <c r="D12" s="241" t="s">
        <v>1420</v>
      </c>
      <c r="E12" s="241"/>
      <c r="F12" s="241"/>
      <c r="G12" s="241"/>
      <c r="H12" s="241"/>
      <c r="I12" s="241"/>
      <c r="J12" s="241"/>
      <c r="K12" s="241"/>
      <c r="L12" s="241"/>
    </row>
    <row r="13" spans="1:13" s="104" customFormat="1" ht="27.75" customHeight="1" thickTop="1" thickBot="1">
      <c r="A13" s="108"/>
      <c r="B13" s="113" t="s">
        <v>1091</v>
      </c>
      <c r="C13" s="108"/>
      <c r="D13" s="241" t="s">
        <v>1188</v>
      </c>
      <c r="E13" s="241"/>
      <c r="F13" s="241"/>
      <c r="G13" s="241"/>
      <c r="H13" s="241"/>
      <c r="I13" s="241"/>
      <c r="J13" s="241"/>
      <c r="K13" s="241"/>
      <c r="L13" s="241"/>
    </row>
    <row r="14" spans="1:13" s="104" customFormat="1" ht="27.75" customHeight="1" thickTop="1" thickBot="1">
      <c r="A14" s="108"/>
      <c r="B14" s="113" t="s">
        <v>1008</v>
      </c>
      <c r="C14" s="108"/>
      <c r="D14" s="240" t="s">
        <v>1421</v>
      </c>
      <c r="E14" s="240"/>
      <c r="F14" s="240"/>
      <c r="G14" s="240"/>
      <c r="H14" s="240"/>
      <c r="I14" s="240"/>
      <c r="J14" s="240"/>
      <c r="K14" s="240"/>
      <c r="L14" s="240"/>
    </row>
    <row r="15" spans="1:13" s="104" customFormat="1" ht="27.75" customHeight="1" thickTop="1" thickBot="1">
      <c r="A15" s="108"/>
      <c r="B15" s="114" t="s">
        <v>537</v>
      </c>
      <c r="C15" s="108"/>
      <c r="D15" s="241" t="s">
        <v>1422</v>
      </c>
      <c r="E15" s="241"/>
      <c r="F15" s="241"/>
      <c r="G15" s="241"/>
      <c r="H15" s="241"/>
      <c r="I15" s="241"/>
      <c r="J15" s="241"/>
      <c r="K15" s="241"/>
      <c r="L15" s="241"/>
    </row>
    <row r="16" spans="1:13" ht="16" thickTop="1">
      <c r="A16" s="115"/>
      <c r="B16" s="116"/>
      <c r="C16" s="115"/>
      <c r="D16" s="117"/>
      <c r="E16" s="117"/>
      <c r="F16" s="117"/>
      <c r="G16" s="117"/>
      <c r="H16" s="117"/>
      <c r="I16" s="117"/>
      <c r="J16" s="117"/>
      <c r="K16" s="117"/>
      <c r="L16" s="117"/>
    </row>
    <row r="17" spans="2:12" s="104" customFormat="1" ht="18.5">
      <c r="B17" s="106" t="s">
        <v>1423</v>
      </c>
      <c r="D17" s="107"/>
    </row>
    <row r="18" spans="2:12" s="104" customFormat="1" ht="5.25" customHeight="1">
      <c r="B18" s="118"/>
      <c r="D18" s="107"/>
    </row>
    <row r="19" spans="2:12" s="104" customFormat="1" ht="24.75" customHeight="1" thickBot="1">
      <c r="B19" s="119" t="s">
        <v>1424</v>
      </c>
      <c r="D19" s="235" t="s">
        <v>1434</v>
      </c>
      <c r="E19" s="235"/>
      <c r="F19" s="235"/>
      <c r="G19" s="235"/>
      <c r="H19" s="235"/>
      <c r="I19" s="235"/>
      <c r="J19" s="235"/>
      <c r="K19" s="235"/>
      <c r="L19" s="126" t="s">
        <v>1174</v>
      </c>
    </row>
    <row r="20" spans="2:12" s="104" customFormat="1" ht="41.25" customHeight="1" thickTop="1" thickBot="1">
      <c r="B20" s="119" t="s">
        <v>1527</v>
      </c>
      <c r="D20" s="235" t="s">
        <v>1435</v>
      </c>
      <c r="E20" s="235"/>
      <c r="F20" s="235"/>
      <c r="G20" s="235"/>
      <c r="H20" s="235"/>
      <c r="I20" s="235"/>
      <c r="J20" s="235"/>
      <c r="K20" s="235"/>
      <c r="L20" s="126" t="s">
        <v>1174</v>
      </c>
    </row>
    <row r="21" spans="2:12" s="104" customFormat="1" ht="37.5" customHeight="1" thickTop="1" thickBot="1">
      <c r="B21" s="119" t="s">
        <v>1425</v>
      </c>
      <c r="D21" s="235" t="s">
        <v>1436</v>
      </c>
      <c r="E21" s="235"/>
      <c r="F21" s="235"/>
      <c r="G21" s="235"/>
      <c r="H21" s="235"/>
      <c r="I21" s="235"/>
      <c r="J21" s="235"/>
      <c r="K21" s="235"/>
      <c r="L21" s="126" t="s">
        <v>1174</v>
      </c>
    </row>
    <row r="22" spans="2:12" s="104" customFormat="1" ht="41.25" customHeight="1" thickTop="1" thickBot="1">
      <c r="B22" s="119" t="s">
        <v>1426</v>
      </c>
      <c r="D22" s="235" t="s">
        <v>1437</v>
      </c>
      <c r="E22" s="235"/>
      <c r="F22" s="235"/>
      <c r="G22" s="235"/>
      <c r="H22" s="235"/>
      <c r="I22" s="235"/>
      <c r="J22" s="235"/>
      <c r="K22" s="235"/>
      <c r="L22" s="126" t="s">
        <v>1174</v>
      </c>
    </row>
    <row r="23" spans="2:12" s="104" customFormat="1" ht="36" customHeight="1" thickTop="1" thickBot="1">
      <c r="B23" s="119" t="s">
        <v>1427</v>
      </c>
      <c r="D23" s="235" t="s">
        <v>1203</v>
      </c>
      <c r="E23" s="235"/>
      <c r="F23" s="235"/>
      <c r="G23" s="235"/>
      <c r="H23" s="235"/>
      <c r="I23" s="235"/>
      <c r="J23" s="235"/>
      <c r="K23" s="235"/>
      <c r="L23" s="126" t="s">
        <v>1174</v>
      </c>
    </row>
    <row r="24" spans="2:12" s="104" customFormat="1" ht="52.5" customHeight="1" thickTop="1" thickBot="1">
      <c r="B24" s="119" t="s">
        <v>1428</v>
      </c>
      <c r="D24" s="235" t="s">
        <v>1438</v>
      </c>
      <c r="E24" s="235"/>
      <c r="F24" s="235"/>
      <c r="G24" s="235"/>
      <c r="H24" s="235"/>
      <c r="I24" s="235"/>
      <c r="J24" s="235"/>
      <c r="K24" s="235"/>
      <c r="L24" s="126" t="s">
        <v>1174</v>
      </c>
    </row>
    <row r="25" spans="2:12" s="104" customFormat="1" ht="57" customHeight="1" thickTop="1" thickBot="1">
      <c r="B25" s="119" t="s">
        <v>1429</v>
      </c>
      <c r="D25" s="235" t="s">
        <v>1439</v>
      </c>
      <c r="E25" s="235"/>
      <c r="F25" s="235"/>
      <c r="G25" s="235"/>
      <c r="H25" s="235"/>
      <c r="I25" s="235"/>
      <c r="J25" s="235"/>
      <c r="K25" s="235"/>
      <c r="L25" s="126" t="s">
        <v>1174</v>
      </c>
    </row>
    <row r="26" spans="2:12" s="104" customFormat="1" ht="48.75" customHeight="1" thickTop="1" thickBot="1">
      <c r="B26" s="119" t="s">
        <v>1430</v>
      </c>
      <c r="D26" s="235" t="s">
        <v>1440</v>
      </c>
      <c r="E26" s="235"/>
      <c r="F26" s="235"/>
      <c r="G26" s="235"/>
      <c r="H26" s="235"/>
      <c r="I26" s="235"/>
      <c r="J26" s="235"/>
      <c r="K26" s="235"/>
      <c r="L26" s="126" t="s">
        <v>1174</v>
      </c>
    </row>
    <row r="27" spans="2:12" s="104" customFormat="1" ht="43.5" customHeight="1" thickTop="1" thickBot="1">
      <c r="B27" s="119" t="s">
        <v>1431</v>
      </c>
      <c r="D27" s="235" t="s">
        <v>1441</v>
      </c>
      <c r="E27" s="235"/>
      <c r="F27" s="235"/>
      <c r="G27" s="235"/>
      <c r="H27" s="235"/>
      <c r="I27" s="235"/>
      <c r="J27" s="235"/>
      <c r="K27" s="235"/>
      <c r="L27" s="126" t="s">
        <v>1174</v>
      </c>
    </row>
    <row r="28" spans="2:12" s="104" customFormat="1" ht="43.5" customHeight="1" thickTop="1" thickBot="1">
      <c r="B28" s="119" t="s">
        <v>1432</v>
      </c>
      <c r="D28" s="235" t="s">
        <v>1442</v>
      </c>
      <c r="E28" s="235"/>
      <c r="F28" s="235"/>
      <c r="G28" s="235"/>
      <c r="H28" s="235"/>
      <c r="I28" s="235"/>
      <c r="J28" s="235"/>
      <c r="K28" s="235"/>
      <c r="L28" s="126" t="s">
        <v>1174</v>
      </c>
    </row>
    <row r="29" spans="2:12" s="104" customFormat="1" ht="50.25" customHeight="1" thickTop="1" thickBot="1">
      <c r="B29" s="119" t="s">
        <v>536</v>
      </c>
      <c r="D29" s="235" t="s">
        <v>1209</v>
      </c>
      <c r="E29" s="235"/>
      <c r="F29" s="235"/>
      <c r="G29" s="235"/>
      <c r="H29" s="235"/>
      <c r="I29" s="235"/>
      <c r="J29" s="235"/>
      <c r="K29" s="235"/>
      <c r="L29" s="126" t="s">
        <v>1174</v>
      </c>
    </row>
    <row r="30" spans="2:12" s="104" customFormat="1" ht="57.75" customHeight="1" thickTop="1" thickBot="1">
      <c r="B30" s="119" t="s">
        <v>1172</v>
      </c>
      <c r="D30" s="235" t="s">
        <v>1443</v>
      </c>
      <c r="E30" s="235"/>
      <c r="F30" s="235"/>
      <c r="G30" s="235"/>
      <c r="H30" s="235"/>
      <c r="I30" s="235"/>
      <c r="J30" s="235"/>
      <c r="K30" s="235"/>
      <c r="L30" s="126" t="s">
        <v>1174</v>
      </c>
    </row>
    <row r="31" spans="2:12" s="104" customFormat="1" ht="67.5" customHeight="1" thickTop="1" thickBot="1">
      <c r="B31" s="119" t="s">
        <v>1433</v>
      </c>
      <c r="D31" s="235" t="s">
        <v>1211</v>
      </c>
      <c r="E31" s="235"/>
      <c r="F31" s="235"/>
      <c r="G31" s="235"/>
      <c r="H31" s="235"/>
      <c r="I31" s="235"/>
      <c r="J31" s="235"/>
      <c r="K31" s="235"/>
      <c r="L31" s="126" t="s">
        <v>1174</v>
      </c>
    </row>
    <row r="32" spans="2:12" s="104" customFormat="1" ht="15" thickTop="1">
      <c r="B32" s="120"/>
      <c r="D32" s="107"/>
      <c r="L32" s="108"/>
    </row>
    <row r="33" spans="2:12" s="104" customFormat="1" ht="18.75" customHeight="1">
      <c r="B33" s="121" t="s">
        <v>1526</v>
      </c>
      <c r="C33" s="122"/>
      <c r="D33" s="123"/>
      <c r="E33" s="122"/>
      <c r="F33" s="122"/>
      <c r="G33" s="122"/>
      <c r="H33" s="122"/>
      <c r="I33" s="122"/>
      <c r="J33" s="122"/>
      <c r="K33" s="122"/>
      <c r="L33" s="124"/>
    </row>
    <row r="34" spans="2:12" s="104" customFormat="1" ht="59.25" customHeight="1">
      <c r="B34" s="236" t="s">
        <v>1444</v>
      </c>
      <c r="C34" s="236"/>
      <c r="D34" s="236"/>
      <c r="E34" s="236"/>
      <c r="F34" s="236"/>
      <c r="G34" s="236"/>
      <c r="H34" s="236"/>
      <c r="I34" s="236"/>
      <c r="J34" s="236"/>
      <c r="K34" s="236"/>
      <c r="L34" s="236"/>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J54"/>
  <sheetViews>
    <sheetView tabSelected="1" zoomScaleNormal="100" zoomScalePageLayoutView="55" workbookViewId="0">
      <pane ySplit="4" topLeftCell="A10" activePane="bottomLeft" state="frozen"/>
      <selection activeCell="E5" sqref="E5"/>
      <selection pane="bottomLeft" activeCell="D5" sqref="D5"/>
    </sheetView>
  </sheetViews>
  <sheetFormatPr defaultColWidth="10" defaultRowHeight="12" customHeight="1" outlineLevelRow="4"/>
  <cols>
    <col min="1" max="1" width="9.08203125" style="143" hidden="1" customWidth="1"/>
    <col min="2" max="2" width="9" style="143" hidden="1" customWidth="1"/>
    <col min="3" max="3" width="8.33203125" style="143" hidden="1" customWidth="1"/>
    <col min="4" max="4" width="9.75" style="185" customWidth="1"/>
    <col min="5" max="13" width="2.75" style="144" customWidth="1"/>
    <col min="14" max="14" width="6.33203125" style="144" customWidth="1"/>
    <col min="15" max="15" width="5.25" style="144" bestFit="1" customWidth="1"/>
    <col min="16" max="17" width="9.83203125" style="145" bestFit="1" customWidth="1"/>
    <col min="18" max="18" width="7.58203125" style="146" hidden="1" customWidth="1"/>
    <col min="19" max="19" width="6.33203125" style="147" bestFit="1" customWidth="1"/>
    <col min="20" max="20" width="4.83203125" style="147" bestFit="1" customWidth="1"/>
    <col min="21" max="21" width="5.83203125" style="147" bestFit="1" customWidth="1"/>
    <col min="22" max="22" width="5" style="147" bestFit="1" customWidth="1"/>
    <col min="23" max="24" width="9.75" style="145" hidden="1" customWidth="1"/>
    <col min="25" max="25" width="7.5" style="148" hidden="1" customWidth="1"/>
    <col min="26" max="26" width="6" style="149" hidden="1" customWidth="1"/>
    <col min="27" max="27" width="6.08203125" style="147" hidden="1" customWidth="1"/>
    <col min="28" max="28" width="28.58203125" style="146" bestFit="1" customWidth="1"/>
    <col min="29" max="29" width="11.83203125" style="150" bestFit="1" customWidth="1"/>
    <col min="30" max="30" width="7.75" style="151" bestFit="1" customWidth="1"/>
    <col min="31" max="31" width="7.25" style="152" customWidth="1"/>
    <col min="32" max="59" width="0.75" style="142" customWidth="1"/>
    <col min="60" max="16384" width="10" style="142"/>
  </cols>
  <sheetData>
    <row r="1" spans="1:62" s="139" customFormat="1" ht="20" customHeight="1">
      <c r="A1" s="153"/>
      <c r="B1" s="154"/>
      <c r="C1" s="155"/>
      <c r="D1" s="186" t="str" cm="1">
        <f t="array" aca="1" ref="D1" ca="1">xlgantt.ProjectName()</f>
        <v>빅데이터 세미프로젝트1</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2022-05-02~2022-05-24 [계획:45.87% 실적:31.69%]</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2" s="139" customFormat="1" ht="15" customHeight="1">
      <c r="A2" s="153"/>
      <c r="B2" s="153"/>
      <c r="C2" s="155"/>
      <c r="D2" s="252"/>
      <c r="E2" s="252"/>
      <c r="F2" s="252"/>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0" t="s">
        <v>1307</v>
      </c>
      <c r="AG2" s="250"/>
      <c r="AH2" s="250"/>
      <c r="AI2" s="250"/>
      <c r="AJ2" s="250"/>
      <c r="AK2" s="250"/>
      <c r="AL2" s="250"/>
      <c r="AM2" s="250" t="s">
        <v>1567</v>
      </c>
      <c r="AN2" s="250"/>
      <c r="AO2" s="250"/>
      <c r="AP2" s="250"/>
      <c r="AQ2" s="250"/>
      <c r="AR2" s="250"/>
      <c r="AS2" s="250"/>
      <c r="AT2" s="250" t="s">
        <v>1568</v>
      </c>
      <c r="AU2" s="250"/>
      <c r="AV2" s="250"/>
      <c r="AW2" s="250"/>
      <c r="AX2" s="250"/>
      <c r="AY2" s="250"/>
      <c r="AZ2" s="250"/>
      <c r="BA2" s="250" t="s">
        <v>1641</v>
      </c>
      <c r="BB2" s="250"/>
      <c r="BC2" s="250"/>
      <c r="BD2" s="250"/>
      <c r="BE2" s="250"/>
      <c r="BF2" s="250"/>
      <c r="BG2" s="250"/>
    </row>
    <row r="3" spans="1:62" s="140" customFormat="1" ht="15" customHeight="1">
      <c r="A3" s="270" t="s">
        <v>554</v>
      </c>
      <c r="B3" s="272" t="s">
        <v>549</v>
      </c>
      <c r="C3" s="274" t="s">
        <v>556</v>
      </c>
      <c r="D3" s="275" t="s">
        <v>550</v>
      </c>
      <c r="E3" s="277" t="s">
        <v>1461</v>
      </c>
      <c r="F3" s="278"/>
      <c r="G3" s="278"/>
      <c r="H3" s="278"/>
      <c r="I3" s="278"/>
      <c r="J3" s="278"/>
      <c r="K3" s="278"/>
      <c r="L3" s="278"/>
      <c r="M3" s="278"/>
      <c r="N3" s="278"/>
      <c r="O3" s="253" t="s">
        <v>1462</v>
      </c>
      <c r="P3" s="253" t="s">
        <v>1463</v>
      </c>
      <c r="Q3" s="253" t="s">
        <v>1464</v>
      </c>
      <c r="R3" s="260" t="s">
        <v>1364</v>
      </c>
      <c r="S3" s="255" t="s">
        <v>1465</v>
      </c>
      <c r="T3" s="262" t="s">
        <v>1466</v>
      </c>
      <c r="U3" s="255" t="s">
        <v>1467</v>
      </c>
      <c r="V3" s="255" t="s">
        <v>1468</v>
      </c>
      <c r="W3" s="257" t="s">
        <v>1469</v>
      </c>
      <c r="X3" s="257" t="s">
        <v>1470</v>
      </c>
      <c r="Y3" s="264" t="s">
        <v>1471</v>
      </c>
      <c r="Z3" s="258" t="s">
        <v>1472</v>
      </c>
      <c r="AA3" s="280" t="s">
        <v>1473</v>
      </c>
      <c r="AB3" s="253" t="s">
        <v>1474</v>
      </c>
      <c r="AC3" s="282" t="s">
        <v>1475</v>
      </c>
      <c r="AD3" s="268" t="s">
        <v>1476</v>
      </c>
      <c r="AE3" s="266" t="s">
        <v>1477</v>
      </c>
      <c r="AF3" s="251" t="s">
        <v>1586</v>
      </c>
      <c r="AG3" s="248"/>
      <c r="AH3" s="248"/>
      <c r="AI3" s="248"/>
      <c r="AJ3" s="248"/>
      <c r="AK3" s="248"/>
      <c r="AL3" s="248"/>
      <c r="AM3" s="248" t="s">
        <v>1587</v>
      </c>
      <c r="AN3" s="248"/>
      <c r="AO3" s="248"/>
      <c r="AP3" s="248"/>
      <c r="AQ3" s="248"/>
      <c r="AR3" s="248"/>
      <c r="AS3" s="248"/>
      <c r="AT3" s="248" t="s">
        <v>1588</v>
      </c>
      <c r="AU3" s="248"/>
      <c r="AV3" s="248"/>
      <c r="AW3" s="248"/>
      <c r="AX3" s="248"/>
      <c r="AY3" s="248"/>
      <c r="AZ3" s="248"/>
      <c r="BA3" s="248" t="s">
        <v>1640</v>
      </c>
      <c r="BB3" s="248"/>
      <c r="BC3" s="248"/>
      <c r="BD3" s="248"/>
      <c r="BE3" s="248"/>
      <c r="BF3" s="248"/>
      <c r="BG3" s="249"/>
    </row>
    <row r="4" spans="1:62" s="141" customFormat="1" ht="10" customHeight="1">
      <c r="A4" s="271"/>
      <c r="B4" s="273"/>
      <c r="C4" s="270"/>
      <c r="D4" s="276"/>
      <c r="E4" s="279"/>
      <c r="F4" s="278"/>
      <c r="G4" s="278"/>
      <c r="H4" s="278"/>
      <c r="I4" s="278"/>
      <c r="J4" s="278"/>
      <c r="K4" s="278"/>
      <c r="L4" s="278"/>
      <c r="M4" s="278"/>
      <c r="N4" s="278"/>
      <c r="O4" s="254"/>
      <c r="P4" s="254"/>
      <c r="Q4" s="254"/>
      <c r="R4" s="261"/>
      <c r="S4" s="256"/>
      <c r="T4" s="263"/>
      <c r="U4" s="256"/>
      <c r="V4" s="256"/>
      <c r="W4" s="254"/>
      <c r="X4" s="254"/>
      <c r="Y4" s="265"/>
      <c r="Z4" s="259"/>
      <c r="AA4" s="281"/>
      <c r="AB4" s="254"/>
      <c r="AC4" s="276"/>
      <c r="AD4" s="269"/>
      <c r="AE4" s="267"/>
      <c r="AF4" s="231">
        <v>44682</v>
      </c>
      <c r="AG4" s="232">
        <v>44683</v>
      </c>
      <c r="AH4" s="232">
        <v>44684</v>
      </c>
      <c r="AI4" s="232">
        <v>44685</v>
      </c>
      <c r="AJ4" s="232">
        <v>44686</v>
      </c>
      <c r="AK4" s="232">
        <v>44687</v>
      </c>
      <c r="AL4" s="232">
        <v>44688</v>
      </c>
      <c r="AM4" s="232">
        <v>44689</v>
      </c>
      <c r="AN4" s="232">
        <v>44690</v>
      </c>
      <c r="AO4" s="232">
        <v>44691</v>
      </c>
      <c r="AP4" s="232">
        <v>44692</v>
      </c>
      <c r="AQ4" s="232">
        <v>44693</v>
      </c>
      <c r="AR4" s="232">
        <v>44694</v>
      </c>
      <c r="AS4" s="232">
        <v>44695</v>
      </c>
      <c r="AT4" s="232">
        <v>44696</v>
      </c>
      <c r="AU4" s="232">
        <v>44697</v>
      </c>
      <c r="AV4" s="232">
        <v>44698</v>
      </c>
      <c r="AW4" s="232">
        <v>44699</v>
      </c>
      <c r="AX4" s="232">
        <v>44700</v>
      </c>
      <c r="AY4" s="232">
        <v>44701</v>
      </c>
      <c r="AZ4" s="232">
        <v>44702</v>
      </c>
      <c r="BA4" s="232">
        <v>44703</v>
      </c>
      <c r="BB4" s="232">
        <v>44704</v>
      </c>
      <c r="BC4" s="232">
        <v>44705</v>
      </c>
      <c r="BD4" s="232">
        <v>44706</v>
      </c>
      <c r="BE4" s="232">
        <v>44707</v>
      </c>
      <c r="BF4" s="232">
        <v>44708</v>
      </c>
      <c r="BG4" s="233">
        <v>44709</v>
      </c>
    </row>
    <row r="5" spans="1:62" ht="12" customHeight="1">
      <c r="A5" s="201"/>
      <c r="B5" s="201" t="s">
        <v>1539</v>
      </c>
      <c r="C5" s="201">
        <v>1</v>
      </c>
      <c r="D5" s="213" t="s">
        <v>1023</v>
      </c>
      <c r="E5" s="202" t="s">
        <v>1487</v>
      </c>
      <c r="F5" s="202"/>
      <c r="G5" s="202"/>
      <c r="H5" s="202"/>
      <c r="I5" s="202"/>
      <c r="J5" s="202"/>
      <c r="K5" s="202"/>
      <c r="L5" s="202"/>
      <c r="M5" s="202"/>
      <c r="N5" s="202"/>
      <c r="O5" s="202"/>
      <c r="P5" s="203">
        <v>44683</v>
      </c>
      <c r="Q5" s="203">
        <v>44700</v>
      </c>
      <c r="R5" s="204"/>
      <c r="S5" s="205">
        <v>106</v>
      </c>
      <c r="T5" s="205">
        <v>56</v>
      </c>
      <c r="U5" s="205">
        <v>13</v>
      </c>
      <c r="V5" s="205">
        <v>4</v>
      </c>
      <c r="W5" s="203"/>
      <c r="X5" s="203"/>
      <c r="Y5" s="206">
        <v>0</v>
      </c>
      <c r="Z5" s="207">
        <v>0</v>
      </c>
      <c r="AA5" s="205"/>
      <c r="AB5" s="204" t="s">
        <v>1556</v>
      </c>
      <c r="AC5" s="208"/>
      <c r="AD5" s="209">
        <v>0.52830188679245282</v>
      </c>
      <c r="AE5" s="220">
        <v>0.61792452830188682</v>
      </c>
      <c r="AF5" s="188"/>
      <c r="AG5" s="189"/>
      <c r="AH5" s="189"/>
      <c r="AI5" s="189"/>
      <c r="AJ5" s="189"/>
      <c r="AK5" s="189"/>
      <c r="AL5" s="189"/>
      <c r="AM5" s="189"/>
      <c r="AN5" s="189"/>
      <c r="AO5" s="189"/>
      <c r="AP5" s="189"/>
      <c r="AQ5" s="189"/>
      <c r="AR5" s="189" t="str">
        <f>"" &amp; TEXT(AE5,"#0.00%") &amp; " " &amp; "프로젝트 관리" &amp; "(권기일, 원동찬)" &amp; " " &amp; IF(P5="","",TEXT(P5,"M/D-")) &amp; IF(Q5="","",TEXT(Q5,"M/D")) &amp; " "</f>
        <v xml:space="preserve">61.79% 프로젝트 관리(권기일, 원동찬) 5/2-5/19 </v>
      </c>
      <c r="AS5" s="189"/>
      <c r="AT5" s="189"/>
      <c r="AU5" s="189"/>
      <c r="AV5" s="189"/>
      <c r="AW5" s="189"/>
      <c r="AX5" s="189"/>
      <c r="AY5" s="189"/>
      <c r="AZ5" s="189"/>
      <c r="BA5" s="189"/>
      <c r="BB5" s="189"/>
      <c r="BC5" s="189"/>
      <c r="BD5" s="189"/>
      <c r="BE5" s="189"/>
      <c r="BF5" s="189"/>
      <c r="BG5" s="189"/>
    </row>
    <row r="6" spans="1:62" ht="12" customHeight="1" outlineLevel="1">
      <c r="A6" s="201"/>
      <c r="B6" s="201" t="s">
        <v>1539</v>
      </c>
      <c r="C6" s="201">
        <v>2</v>
      </c>
      <c r="D6" s="213" t="s">
        <v>1097</v>
      </c>
      <c r="E6" s="202"/>
      <c r="F6" s="202" t="s">
        <v>1488</v>
      </c>
      <c r="G6" s="202"/>
      <c r="H6" s="202"/>
      <c r="I6" s="202"/>
      <c r="J6" s="202"/>
      <c r="K6" s="202"/>
      <c r="L6" s="202"/>
      <c r="M6" s="202"/>
      <c r="N6" s="202"/>
      <c r="O6" s="202"/>
      <c r="P6" s="203">
        <v>44683</v>
      </c>
      <c r="Q6" s="203">
        <v>44700</v>
      </c>
      <c r="R6" s="204"/>
      <c r="S6" s="205">
        <v>101</v>
      </c>
      <c r="T6" s="205">
        <v>56</v>
      </c>
      <c r="U6" s="205">
        <v>13</v>
      </c>
      <c r="V6" s="205">
        <v>4</v>
      </c>
      <c r="W6" s="203"/>
      <c r="X6" s="203"/>
      <c r="Y6" s="206">
        <v>0</v>
      </c>
      <c r="Z6" s="207">
        <v>0</v>
      </c>
      <c r="AA6" s="205"/>
      <c r="AB6" s="204" t="s">
        <v>1556</v>
      </c>
      <c r="AC6" s="208"/>
      <c r="AD6" s="209">
        <v>0.5544554455445545</v>
      </c>
      <c r="AE6" s="220">
        <v>0.64356435643564358</v>
      </c>
      <c r="AF6" s="188"/>
      <c r="AG6" s="189"/>
      <c r="AH6" s="189"/>
      <c r="AI6" s="189"/>
      <c r="AJ6" s="189"/>
      <c r="AK6" s="189"/>
      <c r="AL6" s="189"/>
      <c r="AM6" s="189"/>
      <c r="AN6" s="189"/>
      <c r="AO6" s="189"/>
      <c r="AP6" s="189"/>
      <c r="AQ6" s="189"/>
      <c r="AR6" s="189"/>
      <c r="AS6" s="189" t="str">
        <f>"" &amp; TEXT(AE6,"#0.00%") &amp; " " &amp; "프로젝트 착수 및 계획수립" &amp; "(권기일, 원동찬)" &amp; " " &amp; IF(P6="","",TEXT(P6,"M/D-")) &amp; IF(Q6="","",TEXT(Q6,"M/D")) &amp; " "</f>
        <v xml:space="preserve">64.36% 프로젝트 착수 및 계획수립(권기일, 원동찬) 5/2-5/19 </v>
      </c>
      <c r="AT6" s="189"/>
      <c r="AU6" s="189"/>
      <c r="AV6" s="189"/>
      <c r="AW6" s="189"/>
      <c r="AX6" s="189"/>
      <c r="AY6" s="189"/>
      <c r="AZ6" s="189"/>
      <c r="BA6" s="189"/>
      <c r="BB6" s="189"/>
      <c r="BC6" s="189"/>
      <c r="BD6" s="189"/>
      <c r="BE6" s="189"/>
      <c r="BF6" s="189"/>
      <c r="BG6" s="189"/>
    </row>
    <row r="7" spans="1:62" ht="12" customHeight="1" outlineLevel="2">
      <c r="A7" s="201"/>
      <c r="B7" s="201"/>
      <c r="C7" s="201">
        <v>3</v>
      </c>
      <c r="D7" s="213" t="s">
        <v>1098</v>
      </c>
      <c r="E7" s="202"/>
      <c r="F7" s="202"/>
      <c r="G7" s="202" t="s">
        <v>1489</v>
      </c>
      <c r="H7" s="202"/>
      <c r="I7" s="202"/>
      <c r="J7" s="202"/>
      <c r="K7" s="202"/>
      <c r="L7" s="202"/>
      <c r="M7" s="202"/>
      <c r="N7" s="202"/>
      <c r="O7" s="202"/>
      <c r="P7" s="203">
        <v>44683</v>
      </c>
      <c r="Q7" s="203">
        <v>44700</v>
      </c>
      <c r="R7" s="204"/>
      <c r="S7" s="205">
        <v>65</v>
      </c>
      <c r="T7" s="205">
        <v>20</v>
      </c>
      <c r="U7" s="205">
        <v>13</v>
      </c>
      <c r="V7" s="205">
        <v>4</v>
      </c>
      <c r="W7" s="203">
        <v>44683</v>
      </c>
      <c r="X7" s="203">
        <v>44700</v>
      </c>
      <c r="Y7" s="206">
        <v>13</v>
      </c>
      <c r="Z7" s="207">
        <v>13</v>
      </c>
      <c r="AA7" s="205">
        <v>1</v>
      </c>
      <c r="AB7" s="204" t="s">
        <v>1557</v>
      </c>
      <c r="AC7" s="208"/>
      <c r="AD7" s="209">
        <v>0.30769230769230771</v>
      </c>
      <c r="AE7" s="219">
        <v>1</v>
      </c>
      <c r="AF7" s="188"/>
      <c r="AG7" s="189"/>
      <c r="AH7" s="189"/>
      <c r="AI7" s="189"/>
      <c r="AJ7" s="189"/>
      <c r="AK7" s="189"/>
      <c r="AL7" s="189"/>
      <c r="AM7" s="189"/>
      <c r="AN7" s="189"/>
      <c r="AO7" s="189"/>
      <c r="AP7" s="189"/>
      <c r="AQ7" s="189"/>
      <c r="AR7" s="189"/>
      <c r="AS7" s="189"/>
      <c r="AT7" s="189"/>
      <c r="AU7" s="189"/>
      <c r="AV7" s="189"/>
      <c r="AW7" s="189"/>
      <c r="AX7" s="189"/>
      <c r="AY7" s="189" t="str">
        <f>"" &amp; TEXT(AE7,"#0.00%") &amp; " " &amp; "프로젝트 착수" &amp; "(권기일, 원동찬, 신재웅, 송민성, 김민중)" &amp; " " &amp; IF(P7="","",TEXT(P7,"M/D-")) &amp; IF(Q7="","",TEXT(Q7,"M/D")) &amp; " "</f>
        <v xml:space="preserve">100.00% 프로젝트 착수(권기일, 원동찬, 신재웅, 송민성, 김민중) 5/2-5/19 </v>
      </c>
      <c r="AZ7" s="189"/>
      <c r="BA7" s="189"/>
      <c r="BB7" s="189"/>
      <c r="BC7" s="189"/>
      <c r="BD7" s="189"/>
      <c r="BE7" s="189"/>
      <c r="BF7" s="189"/>
      <c r="BG7" s="189"/>
    </row>
    <row r="8" spans="1:62" ht="12" customHeight="1" outlineLevel="2">
      <c r="A8" s="201"/>
      <c r="B8" s="201" t="s">
        <v>1539</v>
      </c>
      <c r="C8" s="201">
        <v>3</v>
      </c>
      <c r="D8" s="213" t="s">
        <v>1099</v>
      </c>
      <c r="E8" s="202"/>
      <c r="F8" s="202"/>
      <c r="G8" s="202" t="s">
        <v>1490</v>
      </c>
      <c r="H8" s="202"/>
      <c r="I8" s="202"/>
      <c r="J8" s="202"/>
      <c r="K8" s="202"/>
      <c r="L8" s="202"/>
      <c r="M8" s="202"/>
      <c r="N8" s="202"/>
      <c r="O8" s="202"/>
      <c r="P8" s="203">
        <v>44683</v>
      </c>
      <c r="Q8" s="203">
        <v>44690</v>
      </c>
      <c r="R8" s="204"/>
      <c r="S8" s="205">
        <v>36</v>
      </c>
      <c r="T8" s="205">
        <v>36</v>
      </c>
      <c r="U8" s="205">
        <v>5</v>
      </c>
      <c r="V8" s="205">
        <v>4</v>
      </c>
      <c r="W8" s="203"/>
      <c r="X8" s="203"/>
      <c r="Y8" s="206">
        <v>0</v>
      </c>
      <c r="Z8" s="207">
        <v>0</v>
      </c>
      <c r="AA8" s="205"/>
      <c r="AB8" s="204" t="s">
        <v>1557</v>
      </c>
      <c r="AC8" s="208"/>
      <c r="AD8" s="209">
        <v>1</v>
      </c>
      <c r="AE8" s="212">
        <v>0</v>
      </c>
      <c r="AF8" s="188"/>
      <c r="AG8" s="189" t="str">
        <f>"" &amp; TEXT(AE8,"#0.00%") &amp; " " &amp; "프로젝트 범위정의" &amp; "(권기일, 원동찬, 신재웅, 송민성, 김민중)" &amp; " " &amp; IF(P8="","",TEXT(P8,"M/D-")) &amp; IF(Q8="","",TEXT(Q8,"M/D")) &amp; " "</f>
        <v xml:space="preserve">0.00% 프로젝트 범위정의(권기일, 원동찬, 신재웅, 송민성, 김민중) 5/2-5/9 </v>
      </c>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row>
    <row r="9" spans="1:62" ht="12" customHeight="1" outlineLevel="3">
      <c r="A9" s="201"/>
      <c r="B9" s="201" t="s">
        <v>1539</v>
      </c>
      <c r="C9" s="201">
        <v>4</v>
      </c>
      <c r="D9" s="213" t="s">
        <v>1491</v>
      </c>
      <c r="E9" s="202"/>
      <c r="F9" s="202"/>
      <c r="G9" s="202"/>
      <c r="H9" s="202" t="s">
        <v>1589</v>
      </c>
      <c r="I9" s="202"/>
      <c r="J9" s="202"/>
      <c r="K9" s="202"/>
      <c r="L9" s="202"/>
      <c r="M9" s="202"/>
      <c r="N9" s="202"/>
      <c r="O9" s="202"/>
      <c r="P9" s="203">
        <v>44683</v>
      </c>
      <c r="Q9" s="203">
        <v>44687</v>
      </c>
      <c r="R9" s="204"/>
      <c r="S9" s="205">
        <v>36</v>
      </c>
      <c r="T9" s="205">
        <v>36</v>
      </c>
      <c r="U9" s="205">
        <v>4</v>
      </c>
      <c r="V9" s="205">
        <v>4</v>
      </c>
      <c r="W9" s="203"/>
      <c r="X9" s="203"/>
      <c r="Y9" s="206">
        <v>0</v>
      </c>
      <c r="Z9" s="207">
        <v>0</v>
      </c>
      <c r="AA9" s="205"/>
      <c r="AB9" s="204" t="s">
        <v>1557</v>
      </c>
      <c r="AC9" s="208"/>
      <c r="AD9" s="209">
        <v>1</v>
      </c>
      <c r="AE9" s="212">
        <v>0</v>
      </c>
      <c r="AF9" s="188"/>
      <c r="AG9" s="189" t="str">
        <f>"" &amp; TEXT(AE9,"#0.00%") &amp; " " &amp; "프로젝트 주제 선정" &amp; "(권기일, 원동찬, 신재웅, 송민성, 김민중)" &amp; " " &amp; IF(P9="","",TEXT(P9,"M/D-")) &amp; IF(Q9="","",TEXT(Q9,"M/D")) &amp; " "</f>
        <v xml:space="preserve">0.00% 프로젝트 주제 선정(권기일, 원동찬, 신재웅, 송민성, 김민중) 5/2-5/6 </v>
      </c>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row>
    <row r="10" spans="1:62" ht="12" customHeight="1" outlineLevel="4">
      <c r="A10" s="201"/>
      <c r="B10" s="201"/>
      <c r="C10" s="201">
        <v>5</v>
      </c>
      <c r="D10" s="213" t="s">
        <v>1600</v>
      </c>
      <c r="E10" s="202"/>
      <c r="F10" s="202"/>
      <c r="G10" s="202"/>
      <c r="H10" s="234"/>
      <c r="I10" s="202" t="s">
        <v>1599</v>
      </c>
      <c r="J10" s="202"/>
      <c r="K10" s="202"/>
      <c r="L10" s="202"/>
      <c r="M10" s="202"/>
      <c r="N10" s="202"/>
      <c r="O10" s="202"/>
      <c r="P10" s="203">
        <v>44683</v>
      </c>
      <c r="Q10" s="203">
        <v>44687</v>
      </c>
      <c r="R10" s="204"/>
      <c r="S10" s="205">
        <v>20</v>
      </c>
      <c r="T10" s="205">
        <v>20</v>
      </c>
      <c r="U10" s="205">
        <v>4</v>
      </c>
      <c r="V10" s="205">
        <v>4</v>
      </c>
      <c r="W10" s="203"/>
      <c r="X10" s="203"/>
      <c r="Y10" s="206"/>
      <c r="Z10" s="207">
        <v>0</v>
      </c>
      <c r="AA10" s="205"/>
      <c r="AB10" s="204" t="s">
        <v>1557</v>
      </c>
      <c r="AC10" s="208"/>
      <c r="AD10" s="209">
        <v>1</v>
      </c>
      <c r="AE10" s="211">
        <v>0</v>
      </c>
      <c r="AF10" s="188"/>
      <c r="AG10" s="189" t="str">
        <f>"" &amp; TEXT(AE10,"#0.00%") &amp; " " &amp; "프로젝트 기획서 작성" &amp; "(권기일, 원동찬, 신재웅, 송민성, 김민중)" &amp; " " &amp; IF(P10="","",TEXT(P10,"M/D-")) &amp; IF(Q10="","",TEXT(Q10,"M/D")) &amp; " "</f>
        <v xml:space="preserve">0.00% 프로젝트 기획서 작성(권기일, 원동찬, 신재웅, 송민성, 김민중) 5/2-5/6 </v>
      </c>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row>
    <row r="11" spans="1:62" ht="12" customHeight="1" outlineLevel="4">
      <c r="A11" s="201"/>
      <c r="B11" s="201"/>
      <c r="C11" s="201">
        <v>5</v>
      </c>
      <c r="D11" s="213" t="s">
        <v>1615</v>
      </c>
      <c r="E11" s="202"/>
      <c r="F11" s="202"/>
      <c r="G11" s="202"/>
      <c r="H11" s="234"/>
      <c r="I11" s="202" t="s">
        <v>1613</v>
      </c>
      <c r="J11" s="202"/>
      <c r="K11" s="202"/>
      <c r="L11" s="202"/>
      <c r="M11" s="202"/>
      <c r="N11" s="202"/>
      <c r="O11" s="202"/>
      <c r="P11" s="203">
        <v>44683</v>
      </c>
      <c r="Q11" s="203">
        <v>44687</v>
      </c>
      <c r="R11" s="204"/>
      <c r="S11" s="205">
        <v>16</v>
      </c>
      <c r="T11" s="205">
        <v>16</v>
      </c>
      <c r="U11" s="205">
        <v>4</v>
      </c>
      <c r="V11" s="205">
        <v>4</v>
      </c>
      <c r="W11" s="203"/>
      <c r="X11" s="203"/>
      <c r="Y11" s="206"/>
      <c r="Z11" s="207">
        <v>0</v>
      </c>
      <c r="AA11" s="205"/>
      <c r="AB11" s="204" t="s">
        <v>1614</v>
      </c>
      <c r="AC11" s="208"/>
      <c r="AD11" s="209">
        <v>1</v>
      </c>
      <c r="AE11" s="211">
        <v>0</v>
      </c>
      <c r="AF11" s="188"/>
      <c r="AG11" s="189" t="str">
        <f>"" &amp; TEXT(AE11,"#0.00%") &amp; " " &amp; "기획안 발표 준비" &amp; "(권기일, 원동찬, 송민성, 김민중)" &amp; " " &amp; IF(P11="","",TEXT(P11,"M/D-")) &amp; IF(Q11="","",TEXT(Q11,"M/D")) &amp; " "</f>
        <v xml:space="preserve">0.00% 기획안 발표 준비(권기일, 원동찬, 송민성, 김민중) 5/2-5/6 </v>
      </c>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row>
    <row r="12" spans="1:62" ht="12" customHeight="1" outlineLevel="3">
      <c r="A12" s="201">
        <v>1</v>
      </c>
      <c r="B12" s="201"/>
      <c r="C12" s="201">
        <v>4</v>
      </c>
      <c r="D12" s="213" t="s">
        <v>1493</v>
      </c>
      <c r="E12" s="202"/>
      <c r="F12" s="202"/>
      <c r="G12" s="202"/>
      <c r="H12" s="202" t="s">
        <v>1494</v>
      </c>
      <c r="I12" s="202"/>
      <c r="J12" s="202"/>
      <c r="K12" s="202"/>
      <c r="L12" s="202"/>
      <c r="M12" s="202"/>
      <c r="N12" s="202"/>
      <c r="O12" s="202"/>
      <c r="P12" s="203">
        <v>44690</v>
      </c>
      <c r="Q12" s="203">
        <v>44690</v>
      </c>
      <c r="R12" s="204"/>
      <c r="S12" s="205">
        <v>0</v>
      </c>
      <c r="T12" s="205">
        <v>0</v>
      </c>
      <c r="U12" s="205">
        <v>1</v>
      </c>
      <c r="V12" s="205">
        <v>0</v>
      </c>
      <c r="W12" s="203">
        <v>44690</v>
      </c>
      <c r="X12" s="203">
        <v>44690</v>
      </c>
      <c r="Y12" s="206">
        <v>1</v>
      </c>
      <c r="Z12" s="207">
        <v>1</v>
      </c>
      <c r="AA12" s="205">
        <v>1</v>
      </c>
      <c r="AB12" s="204" t="s">
        <v>1557</v>
      </c>
      <c r="AC12" s="208"/>
      <c r="AD12" s="209">
        <v>0</v>
      </c>
      <c r="AE12" s="221">
        <v>0</v>
      </c>
      <c r="AF12" s="188"/>
      <c r="AG12" s="189"/>
      <c r="AH12" s="189"/>
      <c r="AI12" s="189"/>
      <c r="AJ12" s="189"/>
      <c r="AK12" s="189"/>
      <c r="AL12" s="189"/>
      <c r="AM12" s="189"/>
      <c r="AN12" s="189" t="str">
        <f>"    " &amp; TEXT(AE12,"#0.00%") &amp; " " &amp; "착수보고(Kick off)" &amp; "(권기일, 원동찬, 신재웅, 송민성, 김민중)" &amp; " " &amp; IF(P12="","",TEXT(P12,"M/D-")) &amp; IF(Q12="","",TEXT(Q12,"M/D")) &amp; " "</f>
        <v xml:space="preserve">    0.00% 착수보고(Kick off)(권기일, 원동찬, 신재웅, 송민성, 김민중) 5/9-5/9 </v>
      </c>
      <c r="AO12" s="189"/>
      <c r="AP12" s="189"/>
      <c r="AQ12" s="189"/>
      <c r="AR12" s="189"/>
      <c r="AS12" s="189"/>
      <c r="AT12" s="189"/>
      <c r="AU12" s="189"/>
      <c r="AV12" s="189"/>
      <c r="AW12" s="189"/>
      <c r="AX12" s="189"/>
      <c r="AY12" s="189"/>
      <c r="AZ12" s="189"/>
      <c r="BA12" s="189"/>
      <c r="BB12" s="189"/>
      <c r="BC12" s="189"/>
      <c r="BD12" s="189"/>
      <c r="BE12" s="189"/>
      <c r="BF12" s="189"/>
      <c r="BG12" s="189"/>
    </row>
    <row r="13" spans="1:62" ht="12" customHeight="1" outlineLevel="1">
      <c r="A13" s="201"/>
      <c r="B13" s="201" t="s">
        <v>1539</v>
      </c>
      <c r="C13" s="201">
        <v>2</v>
      </c>
      <c r="D13" s="213" t="s">
        <v>1100</v>
      </c>
      <c r="E13" s="202"/>
      <c r="F13" s="202" t="s">
        <v>1495</v>
      </c>
      <c r="G13" s="202"/>
      <c r="H13" s="202"/>
      <c r="I13" s="202"/>
      <c r="J13" s="202"/>
      <c r="K13" s="202"/>
      <c r="L13" s="202"/>
      <c r="M13" s="202"/>
      <c r="N13" s="202"/>
      <c r="O13" s="202"/>
      <c r="P13" s="203">
        <v>44691</v>
      </c>
      <c r="Q13" s="203">
        <v>44691</v>
      </c>
      <c r="R13" s="204"/>
      <c r="S13" s="205">
        <v>1</v>
      </c>
      <c r="T13" s="205">
        <v>0</v>
      </c>
      <c r="U13" s="205">
        <v>1</v>
      </c>
      <c r="V13" s="205">
        <v>0</v>
      </c>
      <c r="W13" s="203"/>
      <c r="X13" s="203"/>
      <c r="Y13" s="206">
        <v>0</v>
      </c>
      <c r="Z13" s="207">
        <v>0</v>
      </c>
      <c r="AA13" s="205"/>
      <c r="AB13" s="204" t="s">
        <v>1559</v>
      </c>
      <c r="AC13" s="208"/>
      <c r="AD13" s="209">
        <v>0</v>
      </c>
      <c r="AE13" s="220">
        <v>0.5</v>
      </c>
      <c r="AF13" s="188"/>
      <c r="AG13" s="189"/>
      <c r="AH13" s="189"/>
      <c r="AI13" s="189"/>
      <c r="AJ13" s="189"/>
      <c r="AK13" s="189"/>
      <c r="AL13" s="189"/>
      <c r="AM13" s="189"/>
      <c r="AN13" s="189"/>
      <c r="AO13" s="189"/>
      <c r="AP13" s="189" t="str">
        <f>"" &amp; TEXT(AE13,"#0.00%") &amp; " " &amp; "프로젝트 수행 및 통제" &amp; "(원동찬, 권기일)" &amp; " " &amp; IF(P13="","",TEXT(P13,"M/D-")) &amp; IF(Q13="","",TEXT(Q13,"M/D")) &amp; " "</f>
        <v xml:space="preserve">50.00% 프로젝트 수행 및 통제(원동찬, 권기일) 5/10-5/10 </v>
      </c>
      <c r="AQ13" s="189"/>
      <c r="AR13" s="189"/>
      <c r="AS13" s="189"/>
      <c r="AT13" s="189"/>
      <c r="AU13" s="189"/>
      <c r="AV13" s="189"/>
      <c r="AW13" s="189"/>
      <c r="AX13" s="189"/>
      <c r="AY13" s="189"/>
      <c r="AZ13" s="189"/>
      <c r="BA13" s="189"/>
      <c r="BB13" s="189"/>
      <c r="BC13" s="189"/>
      <c r="BD13" s="189"/>
      <c r="BE13" s="189"/>
      <c r="BF13" s="189"/>
      <c r="BG13" s="189"/>
    </row>
    <row r="14" spans="1:62" ht="12" customHeight="1" outlineLevel="2">
      <c r="A14" s="201"/>
      <c r="B14" s="201"/>
      <c r="C14" s="201">
        <v>3</v>
      </c>
      <c r="D14" s="213" t="s">
        <v>1101</v>
      </c>
      <c r="E14" s="202"/>
      <c r="F14" s="202"/>
      <c r="G14" s="202" t="s">
        <v>1536</v>
      </c>
      <c r="H14" s="202"/>
      <c r="I14" s="202"/>
      <c r="J14" s="202"/>
      <c r="K14" s="202"/>
      <c r="L14" s="202"/>
      <c r="M14" s="202"/>
      <c r="N14" s="202"/>
      <c r="O14" s="202"/>
      <c r="P14" s="203">
        <v>44691</v>
      </c>
      <c r="Q14" s="203">
        <v>44691</v>
      </c>
      <c r="R14" s="204"/>
      <c r="S14" s="205">
        <v>1</v>
      </c>
      <c r="T14" s="205">
        <v>0</v>
      </c>
      <c r="U14" s="205">
        <v>1</v>
      </c>
      <c r="V14" s="205">
        <v>0</v>
      </c>
      <c r="W14" s="203">
        <v>44691</v>
      </c>
      <c r="X14" s="203">
        <v>44691</v>
      </c>
      <c r="Y14" s="206">
        <v>1</v>
      </c>
      <c r="Z14" s="207">
        <v>1</v>
      </c>
      <c r="AA14" s="205">
        <v>1</v>
      </c>
      <c r="AB14" s="204" t="s">
        <v>1558</v>
      </c>
      <c r="AC14" s="208"/>
      <c r="AD14" s="209">
        <v>0</v>
      </c>
      <c r="AE14" s="219">
        <v>0.5</v>
      </c>
      <c r="AF14" s="188"/>
      <c r="AG14" s="189"/>
      <c r="AH14" s="189"/>
      <c r="AI14" s="189"/>
      <c r="AJ14" s="189"/>
      <c r="AK14" s="189"/>
      <c r="AL14" s="189"/>
      <c r="AM14" s="189"/>
      <c r="AN14" s="189"/>
      <c r="AO14" s="189"/>
      <c r="AP14" s="189" t="str">
        <f>"" &amp; TEXT(AE14,"#0.00%") &amp; " " &amp; "중간점검" &amp; "(원동찬)" &amp; " " &amp; IF(P14="","",TEXT(P14,"M/D-")) &amp; IF(Q14="","",TEXT(Q14,"M/D")) &amp; " "</f>
        <v xml:space="preserve">50.00% 중간점검(원동찬) 5/10-5/10 </v>
      </c>
      <c r="AQ14" s="189"/>
      <c r="AR14" s="189"/>
      <c r="AS14" s="189"/>
      <c r="AT14" s="189"/>
      <c r="AU14" s="189"/>
      <c r="AV14" s="189"/>
      <c r="AW14" s="189"/>
      <c r="AX14" s="189"/>
      <c r="AY14" s="189"/>
      <c r="AZ14" s="189"/>
      <c r="BA14" s="189"/>
      <c r="BB14" s="189"/>
      <c r="BC14" s="189"/>
      <c r="BD14" s="189"/>
      <c r="BE14" s="189"/>
      <c r="BF14" s="189"/>
      <c r="BG14" s="189"/>
    </row>
    <row r="15" spans="1:62" ht="12" customHeight="1" outlineLevel="1">
      <c r="A15" s="201"/>
      <c r="B15" s="201" t="s">
        <v>1539</v>
      </c>
      <c r="C15" s="201">
        <v>2</v>
      </c>
      <c r="D15" s="213" t="s">
        <v>1102</v>
      </c>
      <c r="E15" s="202"/>
      <c r="F15" s="202" t="s">
        <v>1496</v>
      </c>
      <c r="G15" s="202"/>
      <c r="H15" s="202"/>
      <c r="I15" s="202"/>
      <c r="J15" s="202"/>
      <c r="K15" s="202"/>
      <c r="L15" s="202"/>
      <c r="M15" s="202"/>
      <c r="N15" s="202"/>
      <c r="O15" s="202"/>
      <c r="P15" s="203">
        <v>44698</v>
      </c>
      <c r="Q15" s="203">
        <v>44700</v>
      </c>
      <c r="R15" s="204"/>
      <c r="S15" s="205">
        <v>4</v>
      </c>
      <c r="T15" s="205">
        <v>0</v>
      </c>
      <c r="U15" s="205">
        <v>3</v>
      </c>
      <c r="V15" s="205">
        <v>0</v>
      </c>
      <c r="W15" s="203"/>
      <c r="X15" s="203"/>
      <c r="Y15" s="206">
        <v>0</v>
      </c>
      <c r="Z15" s="207">
        <v>0</v>
      </c>
      <c r="AA15" s="205"/>
      <c r="AB15" s="204" t="s">
        <v>1557</v>
      </c>
      <c r="AC15" s="208"/>
      <c r="AD15" s="209">
        <v>0</v>
      </c>
      <c r="AE15" s="222">
        <v>0</v>
      </c>
      <c r="AF15" s="188"/>
      <c r="AG15" s="189"/>
      <c r="AH15" s="189"/>
      <c r="AI15" s="189"/>
      <c r="AJ15" s="189"/>
      <c r="AK15" s="189"/>
      <c r="AL15" s="189"/>
      <c r="AM15" s="189"/>
      <c r="AN15" s="189"/>
      <c r="AO15" s="189"/>
      <c r="AP15" s="189"/>
      <c r="AQ15" s="189"/>
      <c r="AR15" s="189"/>
      <c r="AS15" s="189"/>
      <c r="AT15" s="189"/>
      <c r="AU15" s="189"/>
      <c r="AV15" s="189" t="str">
        <f>"" &amp; TEXT(AE15,"#0.00%") &amp; " " &amp; "프로젝트 종료" &amp; "(권기일, 원동찬, 신재웅, 송민성, 김민중)" &amp; " " &amp; IF(P15="","",TEXT(P15,"M/D-")) &amp; IF(Q15="","",TEXT(Q15,"M/D")) &amp; " "</f>
        <v xml:space="preserve">0.00% 프로젝트 종료(권기일, 원동찬, 신재웅, 송민성, 김민중) 5/17-5/19 </v>
      </c>
      <c r="AW15" s="189"/>
      <c r="AX15" s="189"/>
      <c r="AY15" s="189"/>
      <c r="AZ15" s="189"/>
      <c r="BA15" s="189"/>
      <c r="BB15" s="189"/>
      <c r="BC15" s="189"/>
      <c r="BD15" s="189"/>
      <c r="BE15" s="189"/>
      <c r="BF15" s="189"/>
      <c r="BG15" s="189"/>
    </row>
    <row r="16" spans="1:62" ht="12" customHeight="1" outlineLevel="2">
      <c r="A16" s="201"/>
      <c r="B16" s="201"/>
      <c r="C16" s="201">
        <v>3</v>
      </c>
      <c r="D16" s="213" t="s">
        <v>1103</v>
      </c>
      <c r="E16" s="202"/>
      <c r="F16" s="202"/>
      <c r="G16" s="202" t="s">
        <v>1497</v>
      </c>
      <c r="H16" s="202"/>
      <c r="I16" s="202"/>
      <c r="J16" s="202"/>
      <c r="K16" s="202"/>
      <c r="L16" s="202"/>
      <c r="M16" s="202"/>
      <c r="N16" s="202"/>
      <c r="O16" s="202"/>
      <c r="P16" s="203">
        <v>44700</v>
      </c>
      <c r="Q16" s="203">
        <v>44700</v>
      </c>
      <c r="R16" s="204"/>
      <c r="S16" s="205">
        <v>1</v>
      </c>
      <c r="T16" s="205">
        <v>0</v>
      </c>
      <c r="U16" s="205">
        <v>1</v>
      </c>
      <c r="V16" s="205">
        <v>0</v>
      </c>
      <c r="W16" s="203">
        <v>44700</v>
      </c>
      <c r="X16" s="203">
        <v>44700</v>
      </c>
      <c r="Y16" s="206">
        <v>1</v>
      </c>
      <c r="Z16" s="207">
        <v>1</v>
      </c>
      <c r="AA16" s="205">
        <v>1</v>
      </c>
      <c r="AB16" s="204" t="s">
        <v>1558</v>
      </c>
      <c r="AC16" s="208" t="s">
        <v>1564</v>
      </c>
      <c r="AD16" s="209">
        <v>0</v>
      </c>
      <c r="AE16" s="221">
        <v>0</v>
      </c>
      <c r="AF16" s="188"/>
      <c r="AG16" s="189"/>
      <c r="AH16" s="189"/>
      <c r="AI16" s="189"/>
      <c r="AJ16" s="189"/>
      <c r="AK16" s="189"/>
      <c r="AL16" s="189"/>
      <c r="AM16" s="189"/>
      <c r="AN16" s="189"/>
      <c r="AO16" s="189"/>
      <c r="AP16" s="189"/>
      <c r="AQ16" s="189"/>
      <c r="AR16" s="189"/>
      <c r="AS16" s="189"/>
      <c r="AT16" s="189"/>
      <c r="AU16" s="189"/>
      <c r="AV16" s="189"/>
      <c r="AW16" s="189"/>
      <c r="AX16" s="189" t="str">
        <f>"" &amp; TEXT(AE16,"#0.00%") &amp; " " &amp; "종료보고" &amp; "(원동찬)" &amp; " " &amp; IF(P16="","",TEXT(P16,"M/D-")) &amp; IF(Q16="","",TEXT(Q16,"M/D")) &amp; " "</f>
        <v xml:space="preserve">0.00% 종료보고(원동찬) 5/19-5/19 </v>
      </c>
      <c r="AY16" s="189"/>
      <c r="AZ16" s="189"/>
      <c r="BA16" s="189"/>
      <c r="BB16" s="189"/>
      <c r="BC16" s="189"/>
      <c r="BD16" s="189"/>
      <c r="BE16" s="189"/>
      <c r="BF16" s="189"/>
      <c r="BG16" s="189"/>
    </row>
    <row r="17" spans="1:59" ht="12" customHeight="1" outlineLevel="2">
      <c r="A17" s="201">
        <v>1</v>
      </c>
      <c r="B17" s="201"/>
      <c r="C17" s="201">
        <v>3</v>
      </c>
      <c r="D17" s="213" t="s">
        <v>1123</v>
      </c>
      <c r="E17" s="202"/>
      <c r="F17" s="202"/>
      <c r="G17" s="202" t="s">
        <v>1498</v>
      </c>
      <c r="H17" s="202"/>
      <c r="I17" s="202"/>
      <c r="J17" s="202"/>
      <c r="K17" s="202"/>
      <c r="L17" s="202"/>
      <c r="M17" s="202"/>
      <c r="N17" s="202"/>
      <c r="O17" s="202"/>
      <c r="P17" s="203">
        <v>44700</v>
      </c>
      <c r="Q17" s="203">
        <v>44700</v>
      </c>
      <c r="R17" s="204"/>
      <c r="S17" s="205">
        <v>0</v>
      </c>
      <c r="T17" s="205">
        <v>0</v>
      </c>
      <c r="U17" s="205">
        <v>1</v>
      </c>
      <c r="V17" s="205">
        <v>0</v>
      </c>
      <c r="W17" s="203">
        <v>44700</v>
      </c>
      <c r="X17" s="203">
        <v>44700</v>
      </c>
      <c r="Y17" s="206">
        <v>1</v>
      </c>
      <c r="Z17" s="207">
        <v>1</v>
      </c>
      <c r="AA17" s="205">
        <v>1</v>
      </c>
      <c r="AB17" s="204" t="s">
        <v>1557</v>
      </c>
      <c r="AC17" s="208"/>
      <c r="AD17" s="209">
        <v>0</v>
      </c>
      <c r="AE17" s="221">
        <v>0</v>
      </c>
      <c r="AF17" s="188"/>
      <c r="AG17" s="189"/>
      <c r="AH17" s="189"/>
      <c r="AI17" s="189"/>
      <c r="AJ17" s="189"/>
      <c r="AK17" s="189"/>
      <c r="AL17" s="189"/>
      <c r="AM17" s="189"/>
      <c r="AN17" s="189"/>
      <c r="AO17" s="189"/>
      <c r="AP17" s="189"/>
      <c r="AQ17" s="189"/>
      <c r="AR17" s="189"/>
      <c r="AS17" s="189"/>
      <c r="AT17" s="189"/>
      <c r="AU17" s="189"/>
      <c r="AV17" s="189"/>
      <c r="AW17" s="189"/>
      <c r="AX17" s="189" t="str">
        <f>"    " &amp; TEXT(AE17,"#0.00%") &amp; " " &amp; "검수 및 종료" &amp; "(권기일, 원동찬, 신재웅, 송민성, 김민중)" &amp; " " &amp; IF(P17="","",TEXT(P17,"M/D-")) &amp; IF(Q17="","",TEXT(Q17,"M/D")) &amp; " "</f>
        <v xml:space="preserve">    0.00% 검수 및 종료(권기일, 원동찬, 신재웅, 송민성, 김민중) 5/19-5/19 </v>
      </c>
      <c r="AY17" s="189"/>
      <c r="AZ17" s="189"/>
      <c r="BA17" s="189"/>
      <c r="BB17" s="189"/>
      <c r="BC17" s="189"/>
      <c r="BD17" s="189"/>
      <c r="BE17" s="189"/>
      <c r="BF17" s="189"/>
      <c r="BG17" s="189"/>
    </row>
    <row r="18" spans="1:59" ht="12" customHeight="1" outlineLevel="2">
      <c r="A18" s="201"/>
      <c r="B18" s="201"/>
      <c r="C18" s="201">
        <v>3</v>
      </c>
      <c r="D18" s="213" t="s">
        <v>1616</v>
      </c>
      <c r="E18" s="202"/>
      <c r="F18" s="202"/>
      <c r="G18" s="202" t="s">
        <v>1617</v>
      </c>
      <c r="H18" s="202"/>
      <c r="I18" s="202"/>
      <c r="J18" s="202"/>
      <c r="K18" s="202"/>
      <c r="L18" s="202"/>
      <c r="M18" s="202"/>
      <c r="N18" s="202"/>
      <c r="O18" s="202"/>
      <c r="P18" s="203">
        <v>44698</v>
      </c>
      <c r="Q18" s="203">
        <v>44700</v>
      </c>
      <c r="R18" s="204"/>
      <c r="S18" s="205">
        <v>3</v>
      </c>
      <c r="T18" s="205">
        <v>0</v>
      </c>
      <c r="U18" s="205">
        <v>3</v>
      </c>
      <c r="V18" s="205">
        <v>0</v>
      </c>
      <c r="W18" s="203"/>
      <c r="X18" s="203"/>
      <c r="Y18" s="206"/>
      <c r="Z18" s="207">
        <v>0</v>
      </c>
      <c r="AA18" s="205"/>
      <c r="AB18" s="204" t="s">
        <v>1558</v>
      </c>
      <c r="AC18" s="208"/>
      <c r="AD18" s="209">
        <v>0</v>
      </c>
      <c r="AE18" s="221">
        <v>0</v>
      </c>
      <c r="AF18" s="188"/>
      <c r="AG18" s="189"/>
      <c r="AH18" s="189"/>
      <c r="AI18" s="189"/>
      <c r="AJ18" s="189"/>
      <c r="AK18" s="189"/>
      <c r="AL18" s="189"/>
      <c r="AM18" s="189"/>
      <c r="AN18" s="189"/>
      <c r="AO18" s="189"/>
      <c r="AP18" s="189"/>
      <c r="AQ18" s="189"/>
      <c r="AR18" s="189"/>
      <c r="AS18" s="189"/>
      <c r="AT18" s="189"/>
      <c r="AU18" s="189"/>
      <c r="AV18" s="189" t="str">
        <f>"" &amp; TEXT(AE18,"#0.00%") &amp; " " &amp; "프로젝트 최종 발표 준비" &amp; "(원동찬)" &amp; " " &amp; IF(P18="","",TEXT(P18,"M/D-")) &amp; IF(Q18="","",TEXT(Q18,"M/D")) &amp; " "</f>
        <v xml:space="preserve">0.00% 프로젝트 최종 발표 준비(원동찬) 5/17-5/19 </v>
      </c>
      <c r="AW18" s="189"/>
      <c r="AX18" s="189"/>
      <c r="AY18" s="189"/>
      <c r="AZ18" s="189"/>
      <c r="BA18" s="189"/>
      <c r="BB18" s="189"/>
      <c r="BC18" s="189"/>
      <c r="BD18" s="189"/>
      <c r="BE18" s="189"/>
      <c r="BF18" s="189"/>
      <c r="BG18" s="189"/>
    </row>
    <row r="19" spans="1:59" ht="12" customHeight="1">
      <c r="A19" s="201"/>
      <c r="B19" s="201" t="s">
        <v>1539</v>
      </c>
      <c r="C19" s="201">
        <v>1</v>
      </c>
      <c r="D19" s="213" t="s">
        <v>1087</v>
      </c>
      <c r="E19" s="202" t="s">
        <v>1499</v>
      </c>
      <c r="F19" s="202"/>
      <c r="G19" s="202"/>
      <c r="H19" s="202"/>
      <c r="I19" s="202"/>
      <c r="J19" s="202"/>
      <c r="K19" s="202"/>
      <c r="L19" s="202"/>
      <c r="M19" s="202"/>
      <c r="N19" s="202"/>
      <c r="O19" s="202"/>
      <c r="P19" s="203">
        <v>44683</v>
      </c>
      <c r="Q19" s="203">
        <v>44705</v>
      </c>
      <c r="R19" s="204"/>
      <c r="S19" s="205">
        <v>136</v>
      </c>
      <c r="T19" s="205">
        <v>55</v>
      </c>
      <c r="U19" s="205">
        <v>16</v>
      </c>
      <c r="V19" s="205">
        <v>4</v>
      </c>
      <c r="W19" s="203"/>
      <c r="X19" s="203"/>
      <c r="Y19" s="206">
        <v>0</v>
      </c>
      <c r="Z19" s="207">
        <v>0</v>
      </c>
      <c r="AA19" s="205"/>
      <c r="AB19" s="204"/>
      <c r="AC19" s="208"/>
      <c r="AD19" s="209">
        <v>0.40441176470588236</v>
      </c>
      <c r="AE19" s="212">
        <v>8.2352941176470587E-2</v>
      </c>
      <c r="AF19" s="188"/>
      <c r="AG19" s="189"/>
      <c r="AH19" s="189"/>
      <c r="AI19" s="189" t="str">
        <f>"" &amp; TEXT(AE19,"#0.00%") &amp; " " &amp; "시스템 개발" &amp; " " &amp; IF(P19="","",TEXT(P19,"M/D-")) &amp; IF(Q19="","",TEXT(Q19,"M/D")) &amp; " "</f>
        <v xml:space="preserve">8.24% 시스템 개발 5/2-5/24 </v>
      </c>
      <c r="AJ19" s="189"/>
      <c r="AK19" s="189"/>
      <c r="AL19" s="189"/>
      <c r="AM19" s="189"/>
      <c r="AN19" s="189"/>
      <c r="AO19" s="189"/>
      <c r="AP19" s="189"/>
      <c r="AQ19" s="189"/>
      <c r="AR19" s="189"/>
      <c r="AS19" s="189"/>
      <c r="AT19" s="189"/>
      <c r="AU19" s="189"/>
      <c r="AV19" s="189"/>
      <c r="AW19" s="189"/>
      <c r="AX19" s="189"/>
      <c r="AY19" s="189"/>
      <c r="AZ19" s="189"/>
      <c r="BA19" s="189"/>
      <c r="BB19" s="189"/>
      <c r="BC19" s="189"/>
      <c r="BD19" s="189"/>
      <c r="BE19" s="189"/>
      <c r="BF19" s="189"/>
      <c r="BG19" s="189"/>
    </row>
    <row r="20" spans="1:59" ht="12" customHeight="1" outlineLevel="1">
      <c r="A20" s="201"/>
      <c r="B20" s="201" t="s">
        <v>1539</v>
      </c>
      <c r="C20" s="201">
        <v>2</v>
      </c>
      <c r="D20" s="213" t="s">
        <v>1521</v>
      </c>
      <c r="E20" s="202"/>
      <c r="F20" s="202" t="s">
        <v>650</v>
      </c>
      <c r="G20" s="202"/>
      <c r="H20" s="202"/>
      <c r="I20" s="202"/>
      <c r="J20" s="202"/>
      <c r="K20" s="202"/>
      <c r="L20" s="202"/>
      <c r="M20" s="202"/>
      <c r="N20" s="202"/>
      <c r="O20" s="202"/>
      <c r="P20" s="203">
        <v>44683</v>
      </c>
      <c r="Q20" s="203">
        <v>44687</v>
      </c>
      <c r="R20" s="204"/>
      <c r="S20" s="205">
        <v>8</v>
      </c>
      <c r="T20" s="205">
        <v>8</v>
      </c>
      <c r="U20" s="205">
        <v>4</v>
      </c>
      <c r="V20" s="205">
        <v>4</v>
      </c>
      <c r="W20" s="203"/>
      <c r="X20" s="203"/>
      <c r="Y20" s="206">
        <v>0</v>
      </c>
      <c r="Z20" s="207">
        <v>0</v>
      </c>
      <c r="AA20" s="205"/>
      <c r="AB20" s="204"/>
      <c r="AC20" s="208"/>
      <c r="AD20" s="209">
        <v>1</v>
      </c>
      <c r="AE20" s="222">
        <v>1</v>
      </c>
      <c r="AF20" s="188"/>
      <c r="AG20" s="189"/>
      <c r="AH20" s="189"/>
      <c r="AI20" s="189"/>
      <c r="AJ20" s="189"/>
      <c r="AK20" s="189"/>
      <c r="AL20" s="189" t="str">
        <f>"" &amp; TEXT(AE20,"#0.00%") &amp; " " &amp; "분석" &amp; " " &amp; IF(P20="","",TEXT(P20,"M/D-")) &amp; IF(Q20="","",TEXT(Q20,"M/D")) &amp; " "</f>
        <v xml:space="preserve">100.00% 분석 5/2-5/6 </v>
      </c>
      <c r="AM20" s="189"/>
      <c r="AN20" s="189"/>
      <c r="AO20" s="189"/>
      <c r="AP20" s="189"/>
      <c r="AQ20" s="189"/>
      <c r="AR20" s="189"/>
      <c r="AS20" s="189"/>
      <c r="AT20" s="189"/>
      <c r="AU20" s="189"/>
      <c r="AV20" s="189"/>
      <c r="AW20" s="189"/>
      <c r="AX20" s="189"/>
      <c r="AY20" s="189"/>
      <c r="AZ20" s="189"/>
      <c r="BA20" s="189"/>
      <c r="BB20" s="189"/>
      <c r="BC20" s="189"/>
      <c r="BD20" s="189"/>
      <c r="BE20" s="189"/>
      <c r="BF20" s="189"/>
      <c r="BG20" s="189"/>
    </row>
    <row r="21" spans="1:59" ht="12" customHeight="1" outlineLevel="2">
      <c r="A21" s="201"/>
      <c r="B21" s="201"/>
      <c r="C21" s="201">
        <v>3</v>
      </c>
      <c r="D21" s="213" t="s">
        <v>1500</v>
      </c>
      <c r="E21" s="202"/>
      <c r="F21" s="202"/>
      <c r="G21" s="202" t="s">
        <v>1501</v>
      </c>
      <c r="H21" s="202"/>
      <c r="I21" s="202"/>
      <c r="J21" s="202"/>
      <c r="K21" s="202"/>
      <c r="L21" s="202"/>
      <c r="M21" s="202"/>
      <c r="N21" s="202"/>
      <c r="O21" s="202"/>
      <c r="P21" s="203">
        <v>44683</v>
      </c>
      <c r="Q21" s="203">
        <v>44687</v>
      </c>
      <c r="R21" s="204"/>
      <c r="S21" s="205">
        <v>8</v>
      </c>
      <c r="T21" s="205">
        <v>8</v>
      </c>
      <c r="U21" s="205">
        <v>4</v>
      </c>
      <c r="V21" s="205">
        <v>4</v>
      </c>
      <c r="W21" s="203">
        <v>44683</v>
      </c>
      <c r="X21" s="203">
        <v>44687</v>
      </c>
      <c r="Y21" s="206">
        <v>4</v>
      </c>
      <c r="Z21" s="207">
        <v>4</v>
      </c>
      <c r="AA21" s="205">
        <v>1</v>
      </c>
      <c r="AB21" s="204" t="s">
        <v>1560</v>
      </c>
      <c r="AC21" s="208" t="s">
        <v>1563</v>
      </c>
      <c r="AD21" s="209">
        <v>1</v>
      </c>
      <c r="AE21" s="221">
        <v>1</v>
      </c>
      <c r="AF21" s="188"/>
      <c r="AG21" s="189"/>
      <c r="AH21" s="189"/>
      <c r="AI21" s="189"/>
      <c r="AJ21" s="189"/>
      <c r="AK21" s="189"/>
      <c r="AL21" s="189" t="str">
        <f>"" &amp; TEXT(AE21,"#0.00%") &amp; " " &amp; "요구사항정의" &amp; "(신재웅, 원동찬)" &amp; " " &amp; IF(P21="","",TEXT(P21,"M/D-")) &amp; IF(Q21="","",TEXT(Q21,"M/D")) &amp; " "</f>
        <v xml:space="preserve">100.00% 요구사항정의(신재웅, 원동찬) 5/2-5/6 </v>
      </c>
      <c r="AM21" s="189"/>
      <c r="AN21" s="189"/>
      <c r="AO21" s="189"/>
      <c r="AP21" s="189"/>
      <c r="AQ21" s="189"/>
      <c r="AR21" s="189"/>
      <c r="AS21" s="189"/>
      <c r="AT21" s="189"/>
      <c r="AU21" s="189"/>
      <c r="AV21" s="189"/>
      <c r="AW21" s="189"/>
      <c r="AX21" s="189"/>
      <c r="AY21" s="189"/>
      <c r="AZ21" s="189"/>
      <c r="BA21" s="189"/>
      <c r="BB21" s="189"/>
      <c r="BC21" s="189"/>
      <c r="BD21" s="189"/>
      <c r="BE21" s="189"/>
      <c r="BF21" s="189"/>
      <c r="BG21" s="189"/>
    </row>
    <row r="22" spans="1:59" ht="12" customHeight="1" outlineLevel="1">
      <c r="A22" s="201"/>
      <c r="B22" s="201" t="s">
        <v>1539</v>
      </c>
      <c r="C22" s="201">
        <v>2</v>
      </c>
      <c r="D22" s="213" t="s">
        <v>1522</v>
      </c>
      <c r="E22" s="202"/>
      <c r="F22" s="202" t="s">
        <v>1537</v>
      </c>
      <c r="G22" s="202"/>
      <c r="H22" s="202"/>
      <c r="I22" s="202"/>
      <c r="J22" s="202"/>
      <c r="K22" s="202"/>
      <c r="L22" s="202"/>
      <c r="M22" s="202"/>
      <c r="N22" s="202"/>
      <c r="O22" s="202"/>
      <c r="P22" s="203">
        <v>44683</v>
      </c>
      <c r="Q22" s="203">
        <v>44694</v>
      </c>
      <c r="R22" s="204"/>
      <c r="S22" s="205">
        <v>47</v>
      </c>
      <c r="T22" s="205">
        <v>33</v>
      </c>
      <c r="U22" s="205">
        <v>9</v>
      </c>
      <c r="V22" s="205">
        <v>4</v>
      </c>
      <c r="W22" s="203"/>
      <c r="X22" s="203"/>
      <c r="Y22" s="206">
        <v>0</v>
      </c>
      <c r="Z22" s="207">
        <v>0</v>
      </c>
      <c r="AA22" s="205"/>
      <c r="AB22" s="204" t="s">
        <v>1561</v>
      </c>
      <c r="AC22" s="208"/>
      <c r="AD22" s="209">
        <v>0.7021276595744681</v>
      </c>
      <c r="AE22" s="212">
        <v>6.8085106382978725E-2</v>
      </c>
      <c r="AF22" s="188"/>
      <c r="AG22" s="189"/>
      <c r="AH22" s="189" t="str">
        <f>"" &amp; TEXT(AE22,"#0.00%") &amp; " " &amp; "데이터 조사" &amp; "(원동찬, 신재웅, 송민성, 김민중)" &amp; " " &amp; IF(P22="","",TEXT(P22,"M/D-")) &amp; IF(Q22="","",TEXT(Q22,"M/D")) &amp; " "</f>
        <v xml:space="preserve">6.81% 데이터 조사(원동찬, 신재웅, 송민성, 김민중) 5/2-5/13 </v>
      </c>
      <c r="AI22" s="189"/>
      <c r="AJ22" s="189"/>
      <c r="AK22" s="189"/>
      <c r="AL22" s="189"/>
      <c r="AM22" s="189"/>
      <c r="AN22" s="189"/>
      <c r="AO22" s="189"/>
      <c r="AP22" s="189"/>
      <c r="AQ22" s="189"/>
      <c r="AR22" s="189"/>
      <c r="AS22" s="189"/>
      <c r="AT22" s="189"/>
      <c r="AU22" s="189"/>
      <c r="AV22" s="189"/>
      <c r="AW22" s="189"/>
      <c r="AX22" s="189"/>
      <c r="AY22" s="189"/>
      <c r="AZ22" s="189"/>
      <c r="BA22" s="189"/>
      <c r="BB22" s="189"/>
      <c r="BC22" s="189"/>
      <c r="BD22" s="189"/>
      <c r="BE22" s="189"/>
      <c r="BF22" s="189"/>
      <c r="BG22" s="189"/>
    </row>
    <row r="23" spans="1:59" ht="12" customHeight="1" outlineLevel="2">
      <c r="A23" s="201"/>
      <c r="B23" s="201" t="s">
        <v>1539</v>
      </c>
      <c r="C23" s="201">
        <v>3</v>
      </c>
      <c r="D23" s="213" t="s">
        <v>1505</v>
      </c>
      <c r="E23" s="202"/>
      <c r="F23" s="202"/>
      <c r="G23" s="202" t="s">
        <v>1603</v>
      </c>
      <c r="H23" s="202"/>
      <c r="I23" s="202"/>
      <c r="J23" s="202"/>
      <c r="K23" s="202"/>
      <c r="L23" s="202"/>
      <c r="M23" s="202"/>
      <c r="N23" s="202"/>
      <c r="O23" s="202"/>
      <c r="P23" s="203">
        <v>44683</v>
      </c>
      <c r="Q23" s="203">
        <v>44690</v>
      </c>
      <c r="R23" s="204"/>
      <c r="S23" s="205">
        <v>34</v>
      </c>
      <c r="T23" s="205">
        <v>33</v>
      </c>
      <c r="U23" s="205">
        <v>5</v>
      </c>
      <c r="V23" s="205">
        <v>4</v>
      </c>
      <c r="W23" s="203"/>
      <c r="X23" s="203"/>
      <c r="Y23" s="206">
        <v>0</v>
      </c>
      <c r="Z23" s="207">
        <v>0</v>
      </c>
      <c r="AA23" s="205"/>
      <c r="AB23" s="204"/>
      <c r="AC23" s="208"/>
      <c r="AD23" s="209">
        <v>0.97058823529411764</v>
      </c>
      <c r="AE23" s="212">
        <v>9.4117647058823528E-2</v>
      </c>
      <c r="AF23" s="188"/>
      <c r="AG23" s="189"/>
      <c r="AH23" s="189" t="str">
        <f>"" &amp; TEXT(AE23,"#0.00%") &amp; " " &amp; "데이터 수집" &amp; " " &amp; IF(P23="","",TEXT(P23,"M/D-")) &amp; IF(Q23="","",TEXT(Q23,"M/D")) &amp; " "</f>
        <v xml:space="preserve">9.41% 데이터 수집 5/2-5/9 </v>
      </c>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row>
    <row r="24" spans="1:59" ht="12" customHeight="1" outlineLevel="3">
      <c r="A24" s="201"/>
      <c r="B24" s="201"/>
      <c r="C24" s="201">
        <v>4</v>
      </c>
      <c r="D24" s="213" t="s">
        <v>1543</v>
      </c>
      <c r="E24" s="202"/>
      <c r="F24" s="202"/>
      <c r="G24" s="202"/>
      <c r="H24" s="202" t="s">
        <v>1593</v>
      </c>
      <c r="I24" s="202"/>
      <c r="J24" s="202"/>
      <c r="K24" s="202"/>
      <c r="L24" s="202"/>
      <c r="M24" s="202"/>
      <c r="N24" s="202"/>
      <c r="O24" s="202"/>
      <c r="P24" s="203">
        <v>44683</v>
      </c>
      <c r="Q24" s="203">
        <v>44687</v>
      </c>
      <c r="R24" s="204"/>
      <c r="S24" s="205">
        <v>16</v>
      </c>
      <c r="T24" s="205">
        <v>16</v>
      </c>
      <c r="U24" s="205">
        <v>4</v>
      </c>
      <c r="V24" s="205">
        <v>4</v>
      </c>
      <c r="W24" s="203">
        <v>44683</v>
      </c>
      <c r="X24" s="203">
        <v>44687</v>
      </c>
      <c r="Y24" s="206">
        <v>4</v>
      </c>
      <c r="Z24" s="207">
        <v>4</v>
      </c>
      <c r="AA24" s="205">
        <v>1</v>
      </c>
      <c r="AB24" s="204" t="s">
        <v>1561</v>
      </c>
      <c r="AC24" s="208" t="s">
        <v>1562</v>
      </c>
      <c r="AD24" s="209">
        <v>1</v>
      </c>
      <c r="AE24" s="211">
        <v>0.2</v>
      </c>
      <c r="AF24" s="188"/>
      <c r="AG24" s="189"/>
      <c r="AH24" s="189" t="str">
        <f>"" &amp; TEXT(AE24,"#0.00%") &amp; " " &amp; "한국 30년 간 기후 데이터 수집" &amp; "(원동찬, 신재웅, 송민성, 김민중)" &amp; " " &amp; IF(P24="","",TEXT(P24,"M/D-")) &amp; IF(Q24="","",TEXT(Q24,"M/D")) &amp; " "</f>
        <v xml:space="preserve">20.00% 한국 30년 간 기후 데이터 수집(원동찬, 신재웅, 송민성, 김민중) 5/2-5/6 </v>
      </c>
      <c r="AI24" s="189"/>
      <c r="AJ24" s="189"/>
      <c r="AK24" s="189"/>
      <c r="AL24" s="189"/>
      <c r="AM24" s="189"/>
      <c r="AN24" s="189"/>
      <c r="AO24" s="189"/>
      <c r="AP24" s="189"/>
      <c r="AQ24" s="189"/>
      <c r="AR24" s="189"/>
      <c r="AS24" s="189"/>
      <c r="AT24" s="189"/>
      <c r="AU24" s="189"/>
      <c r="AV24" s="189"/>
      <c r="AW24" s="189"/>
      <c r="AX24" s="189"/>
      <c r="AY24" s="189"/>
      <c r="AZ24" s="189"/>
      <c r="BA24" s="189"/>
      <c r="BB24" s="189"/>
      <c r="BC24" s="189"/>
      <c r="BD24" s="189"/>
      <c r="BE24" s="189"/>
      <c r="BF24" s="189"/>
      <c r="BG24" s="189"/>
    </row>
    <row r="25" spans="1:59" ht="12" customHeight="1" outlineLevel="3">
      <c r="A25" s="201"/>
      <c r="B25" s="201"/>
      <c r="C25" s="201">
        <v>4</v>
      </c>
      <c r="D25" s="213" t="s">
        <v>1544</v>
      </c>
      <c r="E25" s="202"/>
      <c r="F25" s="202"/>
      <c r="G25" s="202"/>
      <c r="H25" s="202" t="s">
        <v>1594</v>
      </c>
      <c r="I25" s="202"/>
      <c r="J25" s="202"/>
      <c r="K25" s="202"/>
      <c r="L25" s="202"/>
      <c r="M25" s="202"/>
      <c r="N25" s="202"/>
      <c r="O25" s="202"/>
      <c r="P25" s="203">
        <v>44683</v>
      </c>
      <c r="Q25" s="203">
        <v>44687</v>
      </c>
      <c r="R25" s="204"/>
      <c r="S25" s="205">
        <v>16</v>
      </c>
      <c r="T25" s="205">
        <v>16</v>
      </c>
      <c r="U25" s="205">
        <v>4</v>
      </c>
      <c r="V25" s="205">
        <v>4</v>
      </c>
      <c r="W25" s="203">
        <v>44683</v>
      </c>
      <c r="X25" s="203">
        <v>44687</v>
      </c>
      <c r="Y25" s="206">
        <v>4</v>
      </c>
      <c r="Z25" s="207">
        <v>4</v>
      </c>
      <c r="AA25" s="205"/>
      <c r="AB25" s="204" t="s">
        <v>1561</v>
      </c>
      <c r="AC25" s="208" t="s">
        <v>1562</v>
      </c>
      <c r="AD25" s="209">
        <v>1</v>
      </c>
      <c r="AE25" s="211">
        <v>0</v>
      </c>
      <c r="AF25" s="188"/>
      <c r="AG25" s="189" t="str">
        <f>"" &amp; TEXT(AE25,"#0.00%") &amp; " " &amp; "작물의 생장 조건 데이터 수집" &amp; "(원동찬, 신재웅, 송민성, 김민중)" &amp; " " &amp; IF(P25="","",TEXT(P25,"M/D-")) &amp; IF(Q25="","",TEXT(Q25,"M/D")) &amp; " "</f>
        <v xml:space="preserve">0.00% 작물의 생장 조건 데이터 수집(원동찬, 신재웅, 송민성, 김민중) 5/2-5/6 </v>
      </c>
      <c r="AH25" s="189"/>
      <c r="AI25" s="189"/>
      <c r="AJ25" s="189"/>
      <c r="AK25" s="189"/>
      <c r="AL25" s="189"/>
      <c r="AM25" s="189"/>
      <c r="AN25" s="189"/>
      <c r="AO25" s="189"/>
      <c r="AP25" s="189"/>
      <c r="AQ25" s="189"/>
      <c r="AR25" s="189"/>
      <c r="AS25" s="189"/>
      <c r="AT25" s="189"/>
      <c r="AU25" s="189"/>
      <c r="AV25" s="189"/>
      <c r="AW25" s="189"/>
      <c r="AX25" s="189"/>
      <c r="AY25" s="189"/>
      <c r="AZ25" s="189"/>
      <c r="BA25" s="189"/>
      <c r="BB25" s="189"/>
      <c r="BC25" s="189"/>
      <c r="BD25" s="189"/>
      <c r="BE25" s="189"/>
      <c r="BF25" s="189"/>
      <c r="BG25" s="189"/>
    </row>
    <row r="26" spans="1:59" ht="12" customHeight="1" outlineLevel="3">
      <c r="A26" s="201"/>
      <c r="B26" s="201"/>
      <c r="C26" s="201">
        <v>4</v>
      </c>
      <c r="D26" s="213" t="s">
        <v>1622</v>
      </c>
      <c r="E26" s="202"/>
      <c r="F26" s="202"/>
      <c r="G26" s="202"/>
      <c r="H26" s="202" t="s">
        <v>1602</v>
      </c>
      <c r="I26" s="202"/>
      <c r="J26" s="202"/>
      <c r="K26" s="202"/>
      <c r="L26" s="202"/>
      <c r="M26" s="202"/>
      <c r="N26" s="202"/>
      <c r="O26" s="202"/>
      <c r="P26" s="203">
        <v>44687</v>
      </c>
      <c r="Q26" s="203">
        <v>44690</v>
      </c>
      <c r="R26" s="204"/>
      <c r="S26" s="205">
        <v>2</v>
      </c>
      <c r="T26" s="205">
        <v>1</v>
      </c>
      <c r="U26" s="205">
        <v>2</v>
      </c>
      <c r="V26" s="205">
        <v>1</v>
      </c>
      <c r="W26" s="203"/>
      <c r="X26" s="203"/>
      <c r="Y26" s="206"/>
      <c r="Z26" s="207">
        <v>0</v>
      </c>
      <c r="AA26" s="205"/>
      <c r="AB26" s="204"/>
      <c r="AC26" s="208"/>
      <c r="AD26" s="209">
        <v>0.5</v>
      </c>
      <c r="AE26" s="211">
        <v>0</v>
      </c>
      <c r="AF26" s="188"/>
      <c r="AG26" s="189"/>
      <c r="AH26" s="189"/>
      <c r="AI26" s="189"/>
      <c r="AJ26" s="189"/>
      <c r="AK26" s="189" t="str">
        <f>"" &amp; TEXT(AE26,"#0.00%") &amp; " " &amp; "작물 가격 데이터 수집" &amp; " " &amp; IF(P26="","",TEXT(P26,"M/D-")) &amp; IF(Q26="","",TEXT(Q26,"M/D")) &amp; " "</f>
        <v xml:space="preserve">0.00% 작물 가격 데이터 수집 5/6-5/9 </v>
      </c>
      <c r="AL26" s="189"/>
      <c r="AM26" s="189"/>
      <c r="AN26" s="189"/>
      <c r="AO26" s="189"/>
      <c r="AP26" s="189"/>
      <c r="AQ26" s="189"/>
      <c r="AR26" s="189"/>
      <c r="AS26" s="189"/>
      <c r="AT26" s="189"/>
      <c r="AU26" s="189"/>
      <c r="AV26" s="189"/>
      <c r="AW26" s="189"/>
      <c r="AX26" s="189"/>
      <c r="AY26" s="189"/>
      <c r="AZ26" s="189"/>
      <c r="BA26" s="189"/>
      <c r="BB26" s="189"/>
      <c r="BC26" s="189"/>
      <c r="BD26" s="189"/>
      <c r="BE26" s="189"/>
      <c r="BF26" s="189"/>
      <c r="BG26" s="189"/>
    </row>
    <row r="27" spans="1:59" ht="12" customHeight="1" outlineLevel="2">
      <c r="A27" s="201"/>
      <c r="B27" s="201" t="s">
        <v>1539</v>
      </c>
      <c r="C27" s="201">
        <v>3</v>
      </c>
      <c r="D27" s="213" t="s">
        <v>1618</v>
      </c>
      <c r="E27" s="202"/>
      <c r="F27" s="202"/>
      <c r="G27" s="202" t="s">
        <v>1601</v>
      </c>
      <c r="H27" s="202"/>
      <c r="I27" s="202"/>
      <c r="J27" s="202"/>
      <c r="K27" s="202"/>
      <c r="L27" s="202"/>
      <c r="M27" s="202"/>
      <c r="N27" s="202"/>
      <c r="O27" s="202"/>
      <c r="P27" s="203">
        <v>44690</v>
      </c>
      <c r="Q27" s="203">
        <v>44694</v>
      </c>
      <c r="R27" s="204"/>
      <c r="S27" s="205">
        <v>13</v>
      </c>
      <c r="T27" s="205">
        <v>0</v>
      </c>
      <c r="U27" s="205">
        <v>5</v>
      </c>
      <c r="V27" s="205">
        <v>0</v>
      </c>
      <c r="W27" s="203"/>
      <c r="X27" s="203"/>
      <c r="Y27" s="206">
        <v>0</v>
      </c>
      <c r="Z27" s="207">
        <v>0</v>
      </c>
      <c r="AA27" s="205"/>
      <c r="AB27" s="204"/>
      <c r="AC27" s="208"/>
      <c r="AD27" s="209">
        <v>0</v>
      </c>
      <c r="AE27" s="222">
        <v>0</v>
      </c>
      <c r="AF27" s="188"/>
      <c r="AG27" s="189"/>
      <c r="AH27" s="189"/>
      <c r="AI27" s="189"/>
      <c r="AJ27" s="189"/>
      <c r="AK27" s="189"/>
      <c r="AL27" s="189"/>
      <c r="AM27" s="189"/>
      <c r="AN27" s="189" t="str">
        <f>"" &amp; TEXT(AE27,"#0.00%") &amp; " " &amp; "데이터 전처리" &amp; " " &amp; IF(P27="","",TEXT(P27,"M/D-")) &amp; IF(Q27="","",TEXT(Q27,"M/D")) &amp; " "</f>
        <v xml:space="preserve">0.00% 데이터 전처리 5/9-5/13 </v>
      </c>
      <c r="AO27" s="189"/>
      <c r="AP27" s="189"/>
      <c r="AQ27" s="189"/>
      <c r="AR27" s="189"/>
      <c r="AS27" s="189"/>
      <c r="AT27" s="189"/>
      <c r="AU27" s="189"/>
      <c r="AV27" s="189"/>
      <c r="AW27" s="189"/>
      <c r="AX27" s="189"/>
      <c r="AY27" s="189"/>
      <c r="AZ27" s="189"/>
      <c r="BA27" s="189"/>
      <c r="BB27" s="189"/>
      <c r="BC27" s="189"/>
      <c r="BD27" s="189"/>
      <c r="BE27" s="189"/>
      <c r="BF27" s="189"/>
      <c r="BG27" s="189"/>
    </row>
    <row r="28" spans="1:59" ht="12" customHeight="1" outlineLevel="3">
      <c r="A28" s="201"/>
      <c r="B28" s="201"/>
      <c r="C28" s="201">
        <v>4</v>
      </c>
      <c r="D28" s="213" t="s">
        <v>1619</v>
      </c>
      <c r="E28" s="202"/>
      <c r="F28" s="202"/>
      <c r="G28" s="202"/>
      <c r="H28" s="202" t="s">
        <v>1611</v>
      </c>
      <c r="I28" s="202"/>
      <c r="J28" s="202"/>
      <c r="K28" s="202"/>
      <c r="L28" s="202"/>
      <c r="M28" s="202"/>
      <c r="N28" s="202"/>
      <c r="O28" s="202"/>
      <c r="P28" s="203">
        <v>44690</v>
      </c>
      <c r="Q28" s="203">
        <v>44690</v>
      </c>
      <c r="R28" s="204"/>
      <c r="S28" s="205">
        <v>1</v>
      </c>
      <c r="T28" s="205">
        <v>0</v>
      </c>
      <c r="U28" s="205">
        <v>1</v>
      </c>
      <c r="V28" s="205">
        <v>0</v>
      </c>
      <c r="W28" s="203"/>
      <c r="X28" s="203"/>
      <c r="Y28" s="206"/>
      <c r="Z28" s="207">
        <v>0</v>
      </c>
      <c r="AA28" s="205"/>
      <c r="AB28" s="204"/>
      <c r="AC28" s="208"/>
      <c r="AD28" s="209">
        <v>0</v>
      </c>
      <c r="AE28" s="221">
        <v>0</v>
      </c>
      <c r="AF28" s="188"/>
      <c r="AG28" s="189"/>
      <c r="AH28" s="189"/>
      <c r="AI28" s="189"/>
      <c r="AJ28" s="189"/>
      <c r="AK28" s="189"/>
      <c r="AL28" s="189"/>
      <c r="AM28" s="189"/>
      <c r="AN28" s="189" t="str">
        <f>"" &amp; TEXT(AE28,"#0.00%") &amp; " " &amp; "전처리 형식 검토" &amp; " " &amp; IF(P28="","",TEXT(P28,"M/D-")) &amp; IF(Q28="","",TEXT(Q28,"M/D")) &amp; " "</f>
        <v xml:space="preserve">0.00% 전처리 형식 검토 5/9-5/9 </v>
      </c>
      <c r="AO28" s="189"/>
      <c r="AP28" s="189"/>
      <c r="AQ28" s="189"/>
      <c r="AR28" s="189"/>
      <c r="AS28" s="189"/>
      <c r="AT28" s="189"/>
      <c r="AU28" s="189"/>
      <c r="AV28" s="189"/>
      <c r="AW28" s="189"/>
      <c r="AX28" s="189"/>
      <c r="AY28" s="189"/>
      <c r="AZ28" s="189"/>
      <c r="BA28" s="189"/>
      <c r="BB28" s="189"/>
      <c r="BC28" s="189"/>
      <c r="BD28" s="189"/>
      <c r="BE28" s="189"/>
      <c r="BF28" s="189"/>
      <c r="BG28" s="189"/>
    </row>
    <row r="29" spans="1:59" ht="12" customHeight="1" outlineLevel="3">
      <c r="A29" s="201"/>
      <c r="B29" s="201"/>
      <c r="C29" s="201">
        <v>4</v>
      </c>
      <c r="D29" s="213" t="s">
        <v>1620</v>
      </c>
      <c r="E29" s="202"/>
      <c r="F29" s="202"/>
      <c r="G29" s="202"/>
      <c r="H29" s="202" t="s">
        <v>1609</v>
      </c>
      <c r="I29" s="202"/>
      <c r="J29" s="202"/>
      <c r="K29" s="202"/>
      <c r="L29" s="202"/>
      <c r="M29" s="202"/>
      <c r="N29" s="202"/>
      <c r="O29" s="202"/>
      <c r="P29" s="203">
        <v>44691</v>
      </c>
      <c r="Q29" s="203">
        <v>44694</v>
      </c>
      <c r="R29" s="204"/>
      <c r="S29" s="205">
        <v>4</v>
      </c>
      <c r="T29" s="205">
        <v>0</v>
      </c>
      <c r="U29" s="205">
        <v>4</v>
      </c>
      <c r="V29" s="205">
        <v>0</v>
      </c>
      <c r="W29" s="203"/>
      <c r="X29" s="203"/>
      <c r="Y29" s="206"/>
      <c r="Z29" s="207">
        <v>0</v>
      </c>
      <c r="AA29" s="205"/>
      <c r="AB29" s="204"/>
      <c r="AC29" s="208"/>
      <c r="AD29" s="209">
        <v>0</v>
      </c>
      <c r="AE29" s="221">
        <v>0</v>
      </c>
      <c r="AF29" s="188"/>
      <c r="AG29" s="189"/>
      <c r="AH29" s="189"/>
      <c r="AI29" s="189"/>
      <c r="AJ29" s="189"/>
      <c r="AK29" s="189"/>
      <c r="AL29" s="189"/>
      <c r="AM29" s="189"/>
      <c r="AN29" s="189"/>
      <c r="AO29" s="189" t="str">
        <f>"" &amp; TEXT(AE29,"#0.00%") &amp; " " &amp; "한국 기후 데이터 전처리" &amp; " " &amp; IF(P29="","",TEXT(P29,"M/D-")) &amp; IF(Q29="","",TEXT(Q29,"M/D")) &amp; " "</f>
        <v xml:space="preserve">0.00% 한국 기후 데이터 전처리 5/10-5/13 </v>
      </c>
      <c r="AP29" s="189"/>
      <c r="AQ29" s="189"/>
      <c r="AR29" s="189"/>
      <c r="AS29" s="189"/>
      <c r="AT29" s="189"/>
      <c r="AU29" s="189"/>
      <c r="AV29" s="189"/>
      <c r="AW29" s="189"/>
      <c r="AX29" s="189"/>
      <c r="AY29" s="189"/>
      <c r="AZ29" s="189"/>
      <c r="BA29" s="189"/>
      <c r="BB29" s="189"/>
      <c r="BC29" s="189"/>
      <c r="BD29" s="189"/>
      <c r="BE29" s="189"/>
      <c r="BF29" s="189"/>
      <c r="BG29" s="189"/>
    </row>
    <row r="30" spans="1:59" ht="12" customHeight="1" outlineLevel="3">
      <c r="A30" s="201"/>
      <c r="B30" s="201"/>
      <c r="C30" s="201">
        <v>4</v>
      </c>
      <c r="D30" s="213" t="s">
        <v>1621</v>
      </c>
      <c r="E30" s="202"/>
      <c r="F30" s="202"/>
      <c r="G30" s="202"/>
      <c r="H30" s="202" t="s">
        <v>1610</v>
      </c>
      <c r="I30" s="202"/>
      <c r="J30" s="202"/>
      <c r="K30" s="202"/>
      <c r="L30" s="202"/>
      <c r="M30" s="202"/>
      <c r="N30" s="202"/>
      <c r="O30" s="202"/>
      <c r="P30" s="203">
        <v>44691</v>
      </c>
      <c r="Q30" s="203">
        <v>44694</v>
      </c>
      <c r="R30" s="204"/>
      <c r="S30" s="205">
        <v>4</v>
      </c>
      <c r="T30" s="205">
        <v>0</v>
      </c>
      <c r="U30" s="205">
        <v>4</v>
      </c>
      <c r="V30" s="205">
        <v>0</v>
      </c>
      <c r="W30" s="203"/>
      <c r="X30" s="203"/>
      <c r="Y30" s="206"/>
      <c r="Z30" s="207">
        <v>0</v>
      </c>
      <c r="AA30" s="205"/>
      <c r="AB30" s="204"/>
      <c r="AC30" s="208"/>
      <c r="AD30" s="209">
        <v>0</v>
      </c>
      <c r="AE30" s="221">
        <v>0</v>
      </c>
      <c r="AF30" s="188"/>
      <c r="AG30" s="189"/>
      <c r="AH30" s="189"/>
      <c r="AI30" s="189"/>
      <c r="AJ30" s="189"/>
      <c r="AK30" s="189"/>
      <c r="AL30" s="189"/>
      <c r="AM30" s="189"/>
      <c r="AN30" s="189"/>
      <c r="AO30" s="189" t="str">
        <f>"" &amp; TEXT(AE30,"#0.00%") &amp; " " &amp; "작물 관련 데이터 전처리" &amp; " " &amp; IF(P30="","",TEXT(P30,"M/D-")) &amp; IF(Q30="","",TEXT(Q30,"M/D")) &amp; " "</f>
        <v xml:space="preserve">0.00% 작물 관련 데이터 전처리 5/10-5/13 </v>
      </c>
      <c r="AP30" s="189"/>
      <c r="AQ30" s="189"/>
      <c r="AR30" s="189"/>
      <c r="AS30" s="189"/>
      <c r="AT30" s="189"/>
      <c r="AU30" s="189"/>
      <c r="AV30" s="189"/>
      <c r="AW30" s="189"/>
      <c r="AX30" s="189"/>
      <c r="AY30" s="189"/>
      <c r="AZ30" s="189"/>
      <c r="BA30" s="189"/>
      <c r="BB30" s="189"/>
      <c r="BC30" s="189"/>
      <c r="BD30" s="189"/>
      <c r="BE30" s="189"/>
      <c r="BF30" s="189"/>
      <c r="BG30" s="189"/>
    </row>
    <row r="31" spans="1:59" ht="12" customHeight="1" outlineLevel="3">
      <c r="A31" s="201"/>
      <c r="B31" s="201"/>
      <c r="C31" s="201">
        <v>4</v>
      </c>
      <c r="D31" s="213" t="s">
        <v>1623</v>
      </c>
      <c r="E31" s="202"/>
      <c r="F31" s="202"/>
      <c r="G31" s="202"/>
      <c r="H31" s="202" t="s">
        <v>1612</v>
      </c>
      <c r="I31" s="202"/>
      <c r="J31" s="202"/>
      <c r="K31" s="202"/>
      <c r="L31" s="202"/>
      <c r="M31" s="202"/>
      <c r="N31" s="202"/>
      <c r="O31" s="202"/>
      <c r="P31" s="203">
        <v>44691</v>
      </c>
      <c r="Q31" s="203">
        <v>44694</v>
      </c>
      <c r="R31" s="204"/>
      <c r="S31" s="205">
        <v>4</v>
      </c>
      <c r="T31" s="205">
        <v>0</v>
      </c>
      <c r="U31" s="205">
        <v>4</v>
      </c>
      <c r="V31" s="205">
        <v>0</v>
      </c>
      <c r="W31" s="203"/>
      <c r="X31" s="203"/>
      <c r="Y31" s="206"/>
      <c r="Z31" s="207">
        <v>0</v>
      </c>
      <c r="AA31" s="205"/>
      <c r="AB31" s="204"/>
      <c r="AC31" s="208"/>
      <c r="AD31" s="209">
        <v>0</v>
      </c>
      <c r="AE31" s="221">
        <v>0</v>
      </c>
      <c r="AF31" s="188"/>
      <c r="AG31" s="189"/>
      <c r="AH31" s="189"/>
      <c r="AI31" s="189"/>
      <c r="AJ31" s="189"/>
      <c r="AK31" s="189"/>
      <c r="AL31" s="189"/>
      <c r="AM31" s="189"/>
      <c r="AN31" s="189"/>
      <c r="AO31" s="189" t="str">
        <f>"" &amp; TEXT(AE31,"#0.00%") &amp; " " &amp; "작물 가격 데이터 전처리" &amp; " " &amp; IF(P31="","",TEXT(P31,"M/D-")) &amp; IF(Q31="","",TEXT(Q31,"M/D")) &amp; " "</f>
        <v xml:space="preserve">0.00% 작물 가격 데이터 전처리 5/10-5/13 </v>
      </c>
      <c r="AP31" s="189"/>
      <c r="AQ31" s="189"/>
      <c r="AR31" s="189"/>
      <c r="AS31" s="189"/>
      <c r="AT31" s="189"/>
      <c r="AU31" s="189"/>
      <c r="AV31" s="189"/>
      <c r="AW31" s="189"/>
      <c r="AX31" s="189"/>
      <c r="AY31" s="189"/>
      <c r="AZ31" s="189"/>
      <c r="BA31" s="189"/>
      <c r="BB31" s="189"/>
      <c r="BC31" s="189"/>
      <c r="BD31" s="189"/>
      <c r="BE31" s="189"/>
      <c r="BF31" s="189"/>
      <c r="BG31" s="189"/>
    </row>
    <row r="32" spans="1:59" ht="12" customHeight="1" outlineLevel="1">
      <c r="A32" s="201"/>
      <c r="B32" s="201" t="s">
        <v>1539</v>
      </c>
      <c r="C32" s="201">
        <v>2</v>
      </c>
      <c r="D32" s="213" t="s">
        <v>1523</v>
      </c>
      <c r="E32" s="202"/>
      <c r="F32" s="202" t="s">
        <v>1292</v>
      </c>
      <c r="G32" s="202"/>
      <c r="H32" s="202"/>
      <c r="I32" s="202"/>
      <c r="J32" s="202"/>
      <c r="K32" s="202"/>
      <c r="L32" s="202"/>
      <c r="M32" s="202"/>
      <c r="N32" s="202"/>
      <c r="O32" s="202"/>
      <c r="P32" s="203">
        <v>44683</v>
      </c>
      <c r="Q32" s="203">
        <v>44694</v>
      </c>
      <c r="R32" s="204"/>
      <c r="S32" s="205">
        <v>42</v>
      </c>
      <c r="T32" s="205">
        <v>13</v>
      </c>
      <c r="U32" s="205">
        <v>9</v>
      </c>
      <c r="V32" s="205">
        <v>4</v>
      </c>
      <c r="W32" s="203"/>
      <c r="X32" s="203"/>
      <c r="Y32" s="206">
        <v>0</v>
      </c>
      <c r="Z32" s="207">
        <v>0</v>
      </c>
      <c r="AA32" s="205"/>
      <c r="AB32" s="204"/>
      <c r="AC32" s="208"/>
      <c r="AD32" s="209">
        <v>0.30952380952380953</v>
      </c>
      <c r="AE32" s="212">
        <v>0</v>
      </c>
      <c r="AF32" s="188"/>
      <c r="AG32" s="189" t="str">
        <f>"" &amp; TEXT(AE32,"#0.00%") &amp; " " &amp; "설계" &amp; " " &amp; IF(P32="","",TEXT(P32,"M/D-")) &amp; IF(Q32="","",TEXT(Q32,"M/D")) &amp; " "</f>
        <v xml:space="preserve">0.00% 설계 5/2-5/13 </v>
      </c>
      <c r="AH32" s="189"/>
      <c r="AI32" s="189"/>
      <c r="AJ32" s="189"/>
      <c r="AK32" s="189"/>
      <c r="AL32" s="189"/>
      <c r="AM32" s="189"/>
      <c r="AN32" s="189"/>
      <c r="AO32" s="189"/>
      <c r="AP32" s="189"/>
      <c r="AQ32" s="189"/>
      <c r="AR32" s="189"/>
      <c r="AS32" s="189"/>
      <c r="AT32" s="189"/>
      <c r="AU32" s="189"/>
      <c r="AV32" s="189"/>
      <c r="AW32" s="189"/>
      <c r="AX32" s="189"/>
      <c r="AY32" s="189"/>
      <c r="AZ32" s="189"/>
      <c r="BA32" s="189"/>
      <c r="BB32" s="189"/>
      <c r="BC32" s="189"/>
      <c r="BD32" s="189"/>
      <c r="BE32" s="189"/>
      <c r="BF32" s="189"/>
      <c r="BG32" s="189"/>
    </row>
    <row r="33" spans="1:59" ht="12" customHeight="1" outlineLevel="2">
      <c r="A33" s="201"/>
      <c r="B33" s="201" t="s">
        <v>1539</v>
      </c>
      <c r="C33" s="201">
        <v>3</v>
      </c>
      <c r="D33" s="213" t="s">
        <v>1508</v>
      </c>
      <c r="E33" s="202"/>
      <c r="F33" s="202"/>
      <c r="G33" s="202" t="s">
        <v>1506</v>
      </c>
      <c r="H33" s="202"/>
      <c r="I33" s="202"/>
      <c r="J33" s="202"/>
      <c r="K33" s="202"/>
      <c r="L33" s="202"/>
      <c r="M33" s="202"/>
      <c r="N33" s="202"/>
      <c r="O33" s="202"/>
      <c r="P33" s="203">
        <v>44683</v>
      </c>
      <c r="Q33" s="203">
        <v>44694</v>
      </c>
      <c r="R33" s="204"/>
      <c r="S33" s="205">
        <v>21</v>
      </c>
      <c r="T33" s="205">
        <v>6</v>
      </c>
      <c r="U33" s="205">
        <v>9</v>
      </c>
      <c r="V33" s="205">
        <v>4</v>
      </c>
      <c r="W33" s="203"/>
      <c r="X33" s="203"/>
      <c r="Y33" s="206">
        <v>0</v>
      </c>
      <c r="Z33" s="207">
        <v>0</v>
      </c>
      <c r="AA33" s="205"/>
      <c r="AB33" s="204"/>
      <c r="AC33" s="208"/>
      <c r="AD33" s="209">
        <v>0.2857142857142857</v>
      </c>
      <c r="AE33" s="212">
        <v>0</v>
      </c>
      <c r="AF33" s="188"/>
      <c r="AG33" s="189" t="str">
        <f>"" &amp; TEXT(AE33,"#0.00%") &amp; " " &amp; "시스템 설계" &amp; " " &amp; IF(P33="","",TEXT(P33,"M/D-")) &amp; IF(Q33="","",TEXT(Q33,"M/D")) &amp; " "</f>
        <v xml:space="preserve">0.00% 시스템 설계 5/2-5/13 </v>
      </c>
      <c r="AH33" s="189"/>
      <c r="AI33" s="189"/>
      <c r="AJ33" s="189"/>
      <c r="AK33" s="189"/>
      <c r="AL33" s="189"/>
      <c r="AM33" s="189"/>
      <c r="AN33" s="189"/>
      <c r="AO33" s="189"/>
      <c r="AP33" s="189"/>
      <c r="AQ33" s="189"/>
      <c r="AR33" s="189"/>
      <c r="AS33" s="189"/>
      <c r="AT33" s="189"/>
      <c r="AU33" s="189"/>
      <c r="AV33" s="189"/>
      <c r="AW33" s="189"/>
      <c r="AX33" s="189"/>
      <c r="AY33" s="189"/>
      <c r="AZ33" s="189"/>
      <c r="BA33" s="189"/>
      <c r="BB33" s="189"/>
      <c r="BC33" s="189"/>
      <c r="BD33" s="189"/>
      <c r="BE33" s="189"/>
      <c r="BF33" s="189"/>
      <c r="BG33" s="189"/>
    </row>
    <row r="34" spans="1:59" ht="12" customHeight="1" outlineLevel="3">
      <c r="A34" s="201"/>
      <c r="B34" s="201"/>
      <c r="C34" s="201">
        <v>4</v>
      </c>
      <c r="D34" s="213" t="s">
        <v>1509</v>
      </c>
      <c r="E34" s="202"/>
      <c r="F34" s="202"/>
      <c r="G34" s="202"/>
      <c r="H34" s="202" t="s">
        <v>1507</v>
      </c>
      <c r="I34" s="202"/>
      <c r="J34" s="202"/>
      <c r="K34" s="202"/>
      <c r="L34" s="202"/>
      <c r="M34" s="202"/>
      <c r="N34" s="202"/>
      <c r="O34" s="202"/>
      <c r="P34" s="203">
        <v>44683</v>
      </c>
      <c r="Q34" s="203">
        <v>44694</v>
      </c>
      <c r="R34" s="204"/>
      <c r="S34" s="205">
        <v>9</v>
      </c>
      <c r="T34" s="205">
        <v>4</v>
      </c>
      <c r="U34" s="205">
        <v>9</v>
      </c>
      <c r="V34" s="205">
        <v>4</v>
      </c>
      <c r="W34" s="203"/>
      <c r="X34" s="203"/>
      <c r="Y34" s="206"/>
      <c r="Z34" s="207">
        <v>0</v>
      </c>
      <c r="AA34" s="205">
        <v>1</v>
      </c>
      <c r="AB34" s="204" t="s">
        <v>1570</v>
      </c>
      <c r="AC34" s="208" t="s">
        <v>1591</v>
      </c>
      <c r="AD34" s="209">
        <v>0.44444444444444442</v>
      </c>
      <c r="AE34" s="211">
        <v>0</v>
      </c>
      <c r="AF34" s="188"/>
      <c r="AG34" s="189" t="str">
        <f>"" &amp; TEXT(AE34,"#0.00%") &amp; " " &amp; "데이터베이스설계" &amp; "(신재웅)" &amp; " " &amp; IF(P34="","",TEXT(P34,"M/D-")) &amp; IF(Q34="","",TEXT(Q34,"M/D")) &amp; " "</f>
        <v xml:space="preserve">0.00% 데이터베이스설계(신재웅) 5/2-5/13 </v>
      </c>
      <c r="AH34" s="189"/>
      <c r="AI34" s="189"/>
      <c r="AJ34" s="189"/>
      <c r="AK34" s="189"/>
      <c r="AL34" s="189"/>
      <c r="AM34" s="189"/>
      <c r="AN34" s="189"/>
      <c r="AO34" s="189"/>
      <c r="AP34" s="189"/>
      <c r="AQ34" s="189"/>
      <c r="AR34" s="189"/>
      <c r="AS34" s="189"/>
      <c r="AT34" s="189"/>
      <c r="AU34" s="189"/>
      <c r="AV34" s="189"/>
      <c r="AW34" s="189"/>
      <c r="AX34" s="189"/>
      <c r="AY34" s="189"/>
      <c r="AZ34" s="189"/>
      <c r="BA34" s="189"/>
      <c r="BB34" s="189"/>
      <c r="BC34" s="189"/>
      <c r="BD34" s="189"/>
      <c r="BE34" s="189"/>
      <c r="BF34" s="189"/>
      <c r="BG34" s="189"/>
    </row>
    <row r="35" spans="1:59" ht="12" customHeight="1" outlineLevel="3">
      <c r="A35" s="201"/>
      <c r="B35" s="201"/>
      <c r="C35" s="201">
        <v>4</v>
      </c>
      <c r="D35" s="213" t="s">
        <v>1510</v>
      </c>
      <c r="E35" s="202"/>
      <c r="F35" s="202"/>
      <c r="G35" s="202"/>
      <c r="H35" s="202" t="s">
        <v>1597</v>
      </c>
      <c r="I35" s="202"/>
      <c r="J35" s="202"/>
      <c r="K35" s="202"/>
      <c r="L35" s="202"/>
      <c r="M35" s="202"/>
      <c r="N35" s="202"/>
      <c r="O35" s="202"/>
      <c r="P35" s="203">
        <v>44687</v>
      </c>
      <c r="Q35" s="203">
        <v>44694</v>
      </c>
      <c r="R35" s="204"/>
      <c r="S35" s="205">
        <v>6</v>
      </c>
      <c r="T35" s="205">
        <v>1</v>
      </c>
      <c r="U35" s="205">
        <v>6</v>
      </c>
      <c r="V35" s="205">
        <v>1</v>
      </c>
      <c r="W35" s="203"/>
      <c r="X35" s="203"/>
      <c r="Y35" s="206"/>
      <c r="Z35" s="207">
        <v>0</v>
      </c>
      <c r="AA35" s="205"/>
      <c r="AB35" s="204"/>
      <c r="AC35" s="208"/>
      <c r="AD35" s="209">
        <v>0.16666666666666666</v>
      </c>
      <c r="AE35" s="211">
        <v>0</v>
      </c>
      <c r="AF35" s="188"/>
      <c r="AG35" s="189"/>
      <c r="AH35" s="189"/>
      <c r="AI35" s="189"/>
      <c r="AJ35" s="189"/>
      <c r="AK35" s="189" t="str">
        <f>"" &amp; TEXT(AE35,"#0.00%") &amp; " " &amp; "학습 모델 기획" &amp; " " &amp; IF(P35="","",TEXT(P35,"M/D-")) &amp; IF(Q35="","",TEXT(Q35,"M/D")) &amp; " "</f>
        <v xml:space="preserve">0.00% 학습 모델 기획 5/6-5/13 </v>
      </c>
      <c r="AL35" s="189"/>
      <c r="AM35" s="189"/>
      <c r="AN35" s="189"/>
      <c r="AO35" s="189"/>
      <c r="AP35" s="189"/>
      <c r="AQ35" s="189"/>
      <c r="AR35" s="189"/>
      <c r="AS35" s="189"/>
      <c r="AT35" s="189"/>
      <c r="AU35" s="189"/>
      <c r="AV35" s="189"/>
      <c r="AW35" s="189"/>
      <c r="AX35" s="189"/>
      <c r="AY35" s="189"/>
      <c r="AZ35" s="189"/>
      <c r="BA35" s="189"/>
      <c r="BB35" s="189"/>
      <c r="BC35" s="189"/>
      <c r="BD35" s="189"/>
      <c r="BE35" s="189"/>
      <c r="BF35" s="189"/>
      <c r="BG35" s="189"/>
    </row>
    <row r="36" spans="1:59" ht="12" customHeight="1" outlineLevel="3">
      <c r="A36" s="201"/>
      <c r="B36" s="201"/>
      <c r="C36" s="201">
        <v>4</v>
      </c>
      <c r="D36" s="213" t="s">
        <v>1605</v>
      </c>
      <c r="E36" s="202"/>
      <c r="F36" s="202"/>
      <c r="G36" s="202"/>
      <c r="H36" s="202" t="s">
        <v>1639</v>
      </c>
      <c r="I36" s="202"/>
      <c r="J36" s="202"/>
      <c r="K36" s="202"/>
      <c r="L36" s="202"/>
      <c r="M36" s="202"/>
      <c r="N36" s="202"/>
      <c r="O36" s="202"/>
      <c r="P36" s="203">
        <v>44687</v>
      </c>
      <c r="Q36" s="203">
        <v>44694</v>
      </c>
      <c r="R36" s="204"/>
      <c r="S36" s="205">
        <v>6</v>
      </c>
      <c r="T36" s="205">
        <v>1</v>
      </c>
      <c r="U36" s="205">
        <v>6</v>
      </c>
      <c r="V36" s="205">
        <v>1</v>
      </c>
      <c r="W36" s="203"/>
      <c r="X36" s="203"/>
      <c r="Y36" s="206"/>
      <c r="Z36" s="207">
        <v>0</v>
      </c>
      <c r="AA36" s="205"/>
      <c r="AB36" s="204"/>
      <c r="AC36" s="208"/>
      <c r="AD36" s="209">
        <v>0.16666666666666666</v>
      </c>
      <c r="AE36" s="211">
        <v>0</v>
      </c>
      <c r="AF36" s="188"/>
      <c r="AG36" s="189"/>
      <c r="AH36" s="189"/>
      <c r="AI36" s="189"/>
      <c r="AJ36" s="189"/>
      <c r="AK36" s="189" t="str">
        <f>"" &amp; TEXT(AE36,"#0.00%") &amp; " " &amp; "평가 모듈 기획" &amp; " " &amp; IF(P36="","",TEXT(P36,"M/D-")) &amp; IF(Q36="","",TEXT(Q36,"M/D")) &amp; " "</f>
        <v xml:space="preserve">0.00% 평가 모듈 기획 5/6-5/13 </v>
      </c>
      <c r="AL36" s="189"/>
      <c r="AM36" s="189"/>
      <c r="AN36" s="189"/>
      <c r="AO36" s="189"/>
      <c r="AP36" s="189"/>
      <c r="AQ36" s="189"/>
      <c r="AR36" s="189"/>
      <c r="AS36" s="189"/>
      <c r="AT36" s="189"/>
      <c r="AU36" s="189"/>
      <c r="AV36" s="189"/>
      <c r="AW36" s="189"/>
      <c r="AX36" s="189"/>
      <c r="AY36" s="189"/>
      <c r="AZ36" s="189"/>
      <c r="BA36" s="189"/>
      <c r="BB36" s="189"/>
      <c r="BC36" s="189"/>
      <c r="BD36" s="189"/>
      <c r="BE36" s="189"/>
      <c r="BF36" s="189"/>
      <c r="BG36" s="189"/>
    </row>
    <row r="37" spans="1:59" ht="12" customHeight="1" outlineLevel="2">
      <c r="A37" s="201"/>
      <c r="B37" s="201" t="s">
        <v>1539</v>
      </c>
      <c r="C37" s="201">
        <v>3</v>
      </c>
      <c r="D37" s="213" t="s">
        <v>1514</v>
      </c>
      <c r="E37" s="202"/>
      <c r="F37" s="202"/>
      <c r="G37" s="202" t="s">
        <v>1550</v>
      </c>
      <c r="H37" s="202"/>
      <c r="I37" s="202"/>
      <c r="J37" s="202"/>
      <c r="K37" s="202"/>
      <c r="L37" s="202"/>
      <c r="M37" s="202"/>
      <c r="N37" s="202"/>
      <c r="O37" s="202"/>
      <c r="P37" s="203">
        <v>44687</v>
      </c>
      <c r="Q37" s="203">
        <v>44692</v>
      </c>
      <c r="R37" s="204"/>
      <c r="S37" s="205">
        <v>21</v>
      </c>
      <c r="T37" s="205">
        <v>7</v>
      </c>
      <c r="U37" s="205">
        <v>4</v>
      </c>
      <c r="V37" s="205">
        <v>1</v>
      </c>
      <c r="W37" s="203"/>
      <c r="X37" s="203"/>
      <c r="Y37" s="206">
        <v>0</v>
      </c>
      <c r="Z37" s="207">
        <v>0</v>
      </c>
      <c r="AA37" s="205"/>
      <c r="AB37" s="204"/>
      <c r="AC37" s="208" t="s">
        <v>1592</v>
      </c>
      <c r="AD37" s="209">
        <v>0.33333333333333331</v>
      </c>
      <c r="AE37" s="212">
        <v>0</v>
      </c>
      <c r="AF37" s="188"/>
      <c r="AG37" s="189"/>
      <c r="AH37" s="189"/>
      <c r="AI37" s="189"/>
      <c r="AJ37" s="189"/>
      <c r="AK37" s="189" t="str">
        <f>"" &amp; TEXT(AE37,"#0.00%") &amp; " " &amp; "모듈설계" &amp; " " &amp; IF(P37="","",TEXT(P37,"M/D-")) &amp; IF(Q37="","",TEXT(Q37,"M/D")) &amp; " "</f>
        <v xml:space="preserve">0.00% 모듈설계 5/6-5/11 </v>
      </c>
      <c r="AL37" s="189"/>
      <c r="AM37" s="189"/>
      <c r="AN37" s="189"/>
      <c r="AO37" s="189"/>
      <c r="AP37" s="189"/>
      <c r="AQ37" s="189"/>
      <c r="AR37" s="189"/>
      <c r="AS37" s="189"/>
      <c r="AT37" s="189"/>
      <c r="AU37" s="189"/>
      <c r="AV37" s="189"/>
      <c r="AW37" s="189"/>
      <c r="AX37" s="189"/>
      <c r="AY37" s="189"/>
      <c r="AZ37" s="189"/>
      <c r="BA37" s="189"/>
      <c r="BB37" s="189"/>
      <c r="BC37" s="189"/>
      <c r="BD37" s="189"/>
      <c r="BE37" s="189"/>
      <c r="BF37" s="189"/>
      <c r="BG37" s="189"/>
    </row>
    <row r="38" spans="1:59" ht="12" customHeight="1" outlineLevel="3">
      <c r="A38" s="201"/>
      <c r="B38" s="201"/>
      <c r="C38" s="201">
        <v>4</v>
      </c>
      <c r="D38" s="213" t="s">
        <v>1516</v>
      </c>
      <c r="E38" s="202"/>
      <c r="F38" s="202"/>
      <c r="G38" s="202"/>
      <c r="H38" s="202" t="s">
        <v>1638</v>
      </c>
      <c r="I38" s="202"/>
      <c r="J38" s="202"/>
      <c r="K38" s="202"/>
      <c r="L38" s="202"/>
      <c r="M38" s="202"/>
      <c r="N38" s="202"/>
      <c r="O38" s="202"/>
      <c r="P38" s="203">
        <v>44687</v>
      </c>
      <c r="Q38" s="203">
        <v>44690</v>
      </c>
      <c r="R38" s="204"/>
      <c r="S38" s="205">
        <v>2</v>
      </c>
      <c r="T38" s="205">
        <v>1</v>
      </c>
      <c r="U38" s="205">
        <v>2</v>
      </c>
      <c r="V38" s="205">
        <v>1</v>
      </c>
      <c r="W38" s="203"/>
      <c r="X38" s="203"/>
      <c r="Y38" s="206"/>
      <c r="Z38" s="207">
        <v>0</v>
      </c>
      <c r="AA38" s="205"/>
      <c r="AB38" s="204"/>
      <c r="AC38" s="208"/>
      <c r="AD38" s="209">
        <v>0.5</v>
      </c>
      <c r="AE38" s="211">
        <v>0</v>
      </c>
      <c r="AF38" s="188"/>
      <c r="AG38" s="189"/>
      <c r="AH38" s="189"/>
      <c r="AI38" s="189"/>
      <c r="AJ38" s="189"/>
      <c r="AK38" s="189" t="str">
        <f>"" &amp; TEXT(AE38,"#0.00%") &amp; " " &amp; "학습 모델 구현" &amp; " " &amp; IF(P38="","",TEXT(P38,"M/D-")) &amp; IF(Q38="","",TEXT(Q38,"M/D")) &amp; " "</f>
        <v xml:space="preserve">0.00% 학습 모델 구현 5/6-5/9 </v>
      </c>
      <c r="AL38" s="189"/>
      <c r="AM38" s="189"/>
      <c r="AN38" s="189"/>
      <c r="AO38" s="189"/>
      <c r="AP38" s="189"/>
      <c r="AQ38" s="189"/>
      <c r="AR38" s="189"/>
      <c r="AS38" s="189"/>
      <c r="AT38" s="189"/>
      <c r="AU38" s="189"/>
      <c r="AV38" s="189"/>
      <c r="AW38" s="189"/>
      <c r="AX38" s="189"/>
      <c r="AY38" s="189"/>
      <c r="AZ38" s="189"/>
      <c r="BA38" s="189"/>
      <c r="BB38" s="189"/>
      <c r="BC38" s="189"/>
      <c r="BD38" s="189"/>
      <c r="BE38" s="189"/>
      <c r="BF38" s="189"/>
      <c r="BG38" s="189"/>
    </row>
    <row r="39" spans="1:59" ht="12" customHeight="1" outlineLevel="3">
      <c r="A39" s="201"/>
      <c r="B39" s="201"/>
      <c r="C39" s="201">
        <v>4</v>
      </c>
      <c r="D39" s="213" t="s">
        <v>1518</v>
      </c>
      <c r="E39" s="202"/>
      <c r="F39" s="202"/>
      <c r="G39" s="202"/>
      <c r="H39" s="202" t="s">
        <v>1598</v>
      </c>
      <c r="I39" s="202"/>
      <c r="J39" s="202"/>
      <c r="K39" s="202"/>
      <c r="L39" s="202"/>
      <c r="M39" s="202"/>
      <c r="N39" s="202"/>
      <c r="O39" s="202"/>
      <c r="P39" s="203">
        <v>44687</v>
      </c>
      <c r="Q39" s="203">
        <v>44691</v>
      </c>
      <c r="R39" s="204"/>
      <c r="S39" s="205">
        <v>15</v>
      </c>
      <c r="T39" s="205">
        <v>5</v>
      </c>
      <c r="U39" s="205">
        <v>3</v>
      </c>
      <c r="V39" s="205">
        <v>1</v>
      </c>
      <c r="W39" s="203"/>
      <c r="X39" s="203"/>
      <c r="Y39" s="206"/>
      <c r="Z39" s="207">
        <v>0</v>
      </c>
      <c r="AA39" s="205"/>
      <c r="AB39" s="204" t="s">
        <v>1557</v>
      </c>
      <c r="AC39" s="208"/>
      <c r="AD39" s="209">
        <v>0.33333333333333331</v>
      </c>
      <c r="AE39" s="211">
        <v>0</v>
      </c>
      <c r="AF39" s="188"/>
      <c r="AG39" s="189"/>
      <c r="AH39" s="189"/>
      <c r="AI39" s="189"/>
      <c r="AJ39" s="189"/>
      <c r="AK39" s="189" t="str">
        <f>"" &amp; TEXT(AE39,"#0.00%") &amp; " " &amp; "플라스크 사용 여부 결정" &amp; "(권기일, 원동찬, 신재웅, 송민성, 김민중)" &amp; " " &amp; IF(P39="","",TEXT(P39,"M/D-")) &amp; IF(Q39="","",TEXT(Q39,"M/D")) &amp; " "</f>
        <v xml:space="preserve">0.00% 플라스크 사용 여부 결정(권기일, 원동찬, 신재웅, 송민성, 김민중) 5/6-5/10 </v>
      </c>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row>
    <row r="40" spans="1:59" ht="12" customHeight="1" outlineLevel="3">
      <c r="A40" s="201"/>
      <c r="B40" s="201"/>
      <c r="C40" s="201">
        <v>4</v>
      </c>
      <c r="D40" s="213" t="s">
        <v>1607</v>
      </c>
      <c r="E40" s="202"/>
      <c r="F40" s="202"/>
      <c r="G40" s="202"/>
      <c r="H40" s="202" t="s">
        <v>1637</v>
      </c>
      <c r="I40" s="202"/>
      <c r="J40" s="202"/>
      <c r="K40" s="202"/>
      <c r="L40" s="202"/>
      <c r="M40" s="202"/>
      <c r="N40" s="202"/>
      <c r="O40" s="202"/>
      <c r="P40" s="203">
        <v>44687</v>
      </c>
      <c r="Q40" s="203">
        <v>44692</v>
      </c>
      <c r="R40" s="204"/>
      <c r="S40" s="205">
        <v>4</v>
      </c>
      <c r="T40" s="205">
        <v>1</v>
      </c>
      <c r="U40" s="205">
        <v>4</v>
      </c>
      <c r="V40" s="205">
        <v>1</v>
      </c>
      <c r="W40" s="203"/>
      <c r="X40" s="203"/>
      <c r="Y40" s="206"/>
      <c r="Z40" s="207">
        <v>0</v>
      </c>
      <c r="AA40" s="205"/>
      <c r="AB40" s="204"/>
      <c r="AC40" s="208"/>
      <c r="AD40" s="209">
        <v>0.25</v>
      </c>
      <c r="AE40" s="211">
        <v>0</v>
      </c>
      <c r="AF40" s="188"/>
      <c r="AG40" s="189"/>
      <c r="AH40" s="189"/>
      <c r="AI40" s="189"/>
      <c r="AJ40" s="189"/>
      <c r="AK40" s="189" t="str">
        <f>"" &amp; TEXT(AE40,"#0.00%") &amp; " " &amp; "평가 모듈 구현" &amp; " " &amp; IF(P40="","",TEXT(P40,"M/D-")) &amp; IF(Q40="","",TEXT(Q40,"M/D")) &amp; " "</f>
        <v xml:space="preserve">0.00% 평가 모듈 구현 5/6-5/11 </v>
      </c>
      <c r="AL40" s="189"/>
      <c r="AM40" s="189"/>
      <c r="AN40" s="189"/>
      <c r="AO40" s="189"/>
      <c r="AP40" s="189"/>
      <c r="AQ40" s="189"/>
      <c r="AR40" s="189"/>
      <c r="AS40" s="189"/>
      <c r="AT40" s="189"/>
      <c r="AU40" s="189"/>
      <c r="AV40" s="189"/>
      <c r="AW40" s="189"/>
      <c r="AX40" s="189"/>
      <c r="AY40" s="189"/>
      <c r="AZ40" s="189"/>
      <c r="BA40" s="189"/>
      <c r="BB40" s="189"/>
      <c r="BC40" s="189"/>
      <c r="BD40" s="189"/>
      <c r="BE40" s="189"/>
      <c r="BF40" s="189"/>
      <c r="BG40" s="189"/>
    </row>
    <row r="41" spans="1:59" ht="12" customHeight="1" outlineLevel="1">
      <c r="A41" s="201"/>
      <c r="B41" s="201" t="s">
        <v>1539</v>
      </c>
      <c r="C41" s="201">
        <v>2</v>
      </c>
      <c r="D41" s="213" t="s">
        <v>1624</v>
      </c>
      <c r="E41" s="202"/>
      <c r="F41" s="202" t="s">
        <v>1551</v>
      </c>
      <c r="G41" s="202"/>
      <c r="H41" s="202"/>
      <c r="I41" s="202"/>
      <c r="J41" s="202"/>
      <c r="K41" s="202"/>
      <c r="L41" s="202"/>
      <c r="M41" s="202"/>
      <c r="N41" s="202"/>
      <c r="O41" s="202"/>
      <c r="P41" s="203">
        <v>44687</v>
      </c>
      <c r="Q41" s="203">
        <v>44705</v>
      </c>
      <c r="R41" s="204"/>
      <c r="S41" s="205">
        <v>39</v>
      </c>
      <c r="T41" s="205">
        <v>1</v>
      </c>
      <c r="U41" s="205">
        <v>13</v>
      </c>
      <c r="V41" s="205">
        <v>1</v>
      </c>
      <c r="W41" s="203"/>
      <c r="X41" s="203"/>
      <c r="Y41" s="206">
        <v>0</v>
      </c>
      <c r="Z41" s="207">
        <v>0</v>
      </c>
      <c r="AA41" s="205"/>
      <c r="AB41" s="204"/>
      <c r="AC41" s="208"/>
      <c r="AD41" s="209">
        <v>2.564102564102564E-2</v>
      </c>
      <c r="AE41" s="212">
        <v>0</v>
      </c>
      <c r="AF41" s="188"/>
      <c r="AG41" s="189"/>
      <c r="AH41" s="189"/>
      <c r="AI41" s="189"/>
      <c r="AJ41" s="189"/>
      <c r="AK41" s="189" t="str">
        <f>"" &amp; TEXT(AE41,"#0.00%") &amp; " " &amp; "개발 및 구현" &amp; " " &amp; IF(P41="","",TEXT(P41,"M/D-")) &amp; IF(Q41="","",TEXT(Q41,"M/D")) &amp; " "</f>
        <v xml:space="preserve">0.00% 개발 및 구현 5/6-5/24 </v>
      </c>
      <c r="AL41" s="189"/>
      <c r="AM41" s="189"/>
      <c r="AN41" s="189"/>
      <c r="AO41" s="189"/>
      <c r="AP41" s="189"/>
      <c r="AQ41" s="189"/>
      <c r="AR41" s="189"/>
      <c r="AS41" s="189"/>
      <c r="AT41" s="189"/>
      <c r="AU41" s="189"/>
      <c r="AV41" s="189"/>
      <c r="AW41" s="189"/>
      <c r="AX41" s="189"/>
      <c r="AY41" s="189"/>
      <c r="AZ41" s="189"/>
      <c r="BA41" s="189"/>
      <c r="BB41" s="189"/>
      <c r="BC41" s="189"/>
      <c r="BD41" s="189"/>
      <c r="BE41" s="189"/>
      <c r="BF41" s="189"/>
      <c r="BG41" s="189"/>
    </row>
    <row r="42" spans="1:59" ht="12" customHeight="1" outlineLevel="2">
      <c r="A42" s="201"/>
      <c r="B42" s="201" t="s">
        <v>1539</v>
      </c>
      <c r="C42" s="201">
        <v>3</v>
      </c>
      <c r="D42" s="213" t="s">
        <v>1625</v>
      </c>
      <c r="E42" s="202"/>
      <c r="F42" s="202"/>
      <c r="G42" s="202" t="s">
        <v>1541</v>
      </c>
      <c r="H42" s="202"/>
      <c r="I42" s="202"/>
      <c r="J42" s="202"/>
      <c r="K42" s="202"/>
      <c r="L42" s="202"/>
      <c r="M42" s="202"/>
      <c r="N42" s="202"/>
      <c r="O42" s="202"/>
      <c r="P42" s="203">
        <v>44690</v>
      </c>
      <c r="Q42" s="203">
        <v>44698</v>
      </c>
      <c r="R42" s="204"/>
      <c r="S42" s="205">
        <v>19</v>
      </c>
      <c r="T42" s="205">
        <v>0</v>
      </c>
      <c r="U42" s="205">
        <v>7</v>
      </c>
      <c r="V42" s="205">
        <v>0</v>
      </c>
      <c r="W42" s="203"/>
      <c r="X42" s="203"/>
      <c r="Y42" s="206">
        <v>0</v>
      </c>
      <c r="Z42" s="207">
        <v>0</v>
      </c>
      <c r="AA42" s="205"/>
      <c r="AB42" s="204"/>
      <c r="AC42" s="208"/>
      <c r="AD42" s="209">
        <v>0</v>
      </c>
      <c r="AE42" s="222">
        <v>0</v>
      </c>
      <c r="AF42" s="188"/>
      <c r="AG42" s="189"/>
      <c r="AH42" s="189"/>
      <c r="AI42" s="189"/>
      <c r="AJ42" s="189"/>
      <c r="AK42" s="189"/>
      <c r="AL42" s="189"/>
      <c r="AM42" s="189"/>
      <c r="AN42" s="189" t="str">
        <f>"" &amp; TEXT(AE42,"#0.00%") &amp; " " &amp; "프로그램 구현" &amp; " " &amp; IF(P42="","",TEXT(P42,"M/D-")) &amp; IF(Q42="","",TEXT(Q42,"M/D")) &amp; " "</f>
        <v xml:space="preserve">0.00% 프로그램 구현 5/9-5/17 </v>
      </c>
      <c r="AO42" s="189"/>
      <c r="AP42" s="189"/>
      <c r="AQ42" s="189"/>
      <c r="AR42" s="189"/>
      <c r="AS42" s="189"/>
      <c r="AT42" s="189"/>
      <c r="AU42" s="189"/>
      <c r="AV42" s="189"/>
      <c r="AW42" s="189"/>
      <c r="AX42" s="189"/>
      <c r="AY42" s="189"/>
      <c r="AZ42" s="189"/>
      <c r="BA42" s="189"/>
      <c r="BB42" s="189"/>
      <c r="BC42" s="189"/>
      <c r="BD42" s="189"/>
      <c r="BE42" s="189"/>
      <c r="BF42" s="189"/>
      <c r="BG42" s="189"/>
    </row>
    <row r="43" spans="1:59" ht="12" customHeight="1" outlineLevel="3">
      <c r="A43" s="201"/>
      <c r="B43" s="201"/>
      <c r="C43" s="201">
        <v>4</v>
      </c>
      <c r="D43" s="213" t="s">
        <v>1626</v>
      </c>
      <c r="E43" s="202"/>
      <c r="F43" s="202"/>
      <c r="G43" s="202"/>
      <c r="H43" s="202" t="s">
        <v>1595</v>
      </c>
      <c r="I43" s="202"/>
      <c r="J43" s="202"/>
      <c r="K43" s="202"/>
      <c r="L43" s="202"/>
      <c r="M43" s="202"/>
      <c r="N43" s="202"/>
      <c r="O43" s="202"/>
      <c r="P43" s="203">
        <v>44690</v>
      </c>
      <c r="Q43" s="203">
        <v>44695</v>
      </c>
      <c r="R43" s="204"/>
      <c r="S43" s="205">
        <v>5</v>
      </c>
      <c r="T43" s="205">
        <v>0</v>
      </c>
      <c r="U43" s="205">
        <v>5</v>
      </c>
      <c r="V43" s="205">
        <v>0</v>
      </c>
      <c r="W43" s="203"/>
      <c r="X43" s="203"/>
      <c r="Y43" s="206"/>
      <c r="Z43" s="207">
        <v>0</v>
      </c>
      <c r="AA43" s="205">
        <v>1</v>
      </c>
      <c r="AB43" s="204"/>
      <c r="AC43" s="208"/>
      <c r="AD43" s="209">
        <v>0</v>
      </c>
      <c r="AE43" s="221">
        <v>0</v>
      </c>
      <c r="AF43" s="188"/>
      <c r="AG43" s="189"/>
      <c r="AH43" s="189"/>
      <c r="AI43" s="189"/>
      <c r="AJ43" s="189"/>
      <c r="AK43" s="189"/>
      <c r="AL43" s="189"/>
      <c r="AM43" s="189"/>
      <c r="AN43" s="189" t="str">
        <f>"" &amp; TEXT(AE43,"#0.00%") &amp; " " &amp; "역대 한국 기후 학습 모듈 만들기" &amp; " " &amp; IF(P43="","",TEXT(P43,"M/D-")) &amp; IF(Q43="","",TEXT(Q43,"M/D")) &amp; " "</f>
        <v xml:space="preserve">0.00% 역대 한국 기후 학습 모듈 만들기 5/9-5/14 </v>
      </c>
      <c r="AO43" s="189"/>
      <c r="AP43" s="189"/>
      <c r="AQ43" s="189"/>
      <c r="AR43" s="189"/>
      <c r="AS43" s="189"/>
      <c r="AT43" s="189"/>
      <c r="AU43" s="189"/>
      <c r="AV43" s="189"/>
      <c r="AW43" s="189"/>
      <c r="AX43" s="189"/>
      <c r="AY43" s="189"/>
      <c r="AZ43" s="189"/>
      <c r="BA43" s="189"/>
      <c r="BB43" s="189"/>
      <c r="BC43" s="189"/>
      <c r="BD43" s="189"/>
      <c r="BE43" s="189"/>
      <c r="BF43" s="189"/>
      <c r="BG43" s="189"/>
    </row>
    <row r="44" spans="1:59" ht="12" customHeight="1" outlineLevel="3">
      <c r="A44" s="201"/>
      <c r="B44" s="201"/>
      <c r="C44" s="201">
        <v>4</v>
      </c>
      <c r="D44" s="213" t="s">
        <v>1627</v>
      </c>
      <c r="E44" s="202"/>
      <c r="F44" s="202"/>
      <c r="G44" s="202"/>
      <c r="H44" s="202" t="s">
        <v>1596</v>
      </c>
      <c r="I44" s="202"/>
      <c r="J44" s="202"/>
      <c r="K44" s="202"/>
      <c r="L44" s="202"/>
      <c r="M44" s="202"/>
      <c r="N44" s="202"/>
      <c r="O44" s="202"/>
      <c r="P44" s="203">
        <v>44690</v>
      </c>
      <c r="Q44" s="203">
        <v>44696</v>
      </c>
      <c r="R44" s="204"/>
      <c r="S44" s="205">
        <v>5</v>
      </c>
      <c r="T44" s="205">
        <v>0</v>
      </c>
      <c r="U44" s="205">
        <v>5</v>
      </c>
      <c r="V44" s="205">
        <v>0</v>
      </c>
      <c r="W44" s="203"/>
      <c r="X44" s="203"/>
      <c r="Y44" s="206"/>
      <c r="Z44" s="207">
        <v>0</v>
      </c>
      <c r="AA44" s="205"/>
      <c r="AB44" s="204"/>
      <c r="AC44" s="208"/>
      <c r="AD44" s="209">
        <v>0</v>
      </c>
      <c r="AE44" s="221">
        <v>0</v>
      </c>
      <c r="AF44" s="188"/>
      <c r="AG44" s="189"/>
      <c r="AH44" s="189"/>
      <c r="AI44" s="189"/>
      <c r="AJ44" s="189"/>
      <c r="AK44" s="189"/>
      <c r="AL44" s="189"/>
      <c r="AM44" s="189"/>
      <c r="AN44" s="189" t="str">
        <f>"" &amp; TEXT(AE44,"#0.00%") &amp; " " &amp; "미래의 한국 기후 예측 모듈 구현" &amp; " " &amp; IF(P44="","",TEXT(P44,"M/D-")) &amp; IF(Q44="","",TEXT(Q44,"M/D")) &amp; " "</f>
        <v xml:space="preserve">0.00% 미래의 한국 기후 예측 모듈 구현 5/9-5/15 </v>
      </c>
      <c r="AO44" s="189"/>
      <c r="AP44" s="189"/>
      <c r="AQ44" s="189"/>
      <c r="AR44" s="189"/>
      <c r="AS44" s="189"/>
      <c r="AT44" s="189"/>
      <c r="AU44" s="189"/>
      <c r="AV44" s="189"/>
      <c r="AW44" s="189"/>
      <c r="AX44" s="189"/>
      <c r="AY44" s="189"/>
      <c r="AZ44" s="189"/>
      <c r="BA44" s="189"/>
      <c r="BB44" s="189"/>
      <c r="BC44" s="189"/>
      <c r="BD44" s="189"/>
      <c r="BE44" s="189"/>
      <c r="BF44" s="189"/>
      <c r="BG44" s="189"/>
    </row>
    <row r="45" spans="1:59" ht="12" customHeight="1" outlineLevel="3">
      <c r="A45" s="201"/>
      <c r="B45" s="201"/>
      <c r="C45" s="201">
        <v>4</v>
      </c>
      <c r="D45" s="213" t="s">
        <v>1628</v>
      </c>
      <c r="E45" s="202"/>
      <c r="F45" s="202"/>
      <c r="G45" s="202"/>
      <c r="H45" s="202" t="s">
        <v>1604</v>
      </c>
      <c r="I45" s="202"/>
      <c r="J45" s="202"/>
      <c r="K45" s="202"/>
      <c r="L45" s="202"/>
      <c r="M45" s="202"/>
      <c r="N45" s="202"/>
      <c r="O45" s="202"/>
      <c r="P45" s="203">
        <v>44690</v>
      </c>
      <c r="Q45" s="203">
        <v>44697</v>
      </c>
      <c r="R45" s="204"/>
      <c r="S45" s="205">
        <v>6</v>
      </c>
      <c r="T45" s="205">
        <v>0</v>
      </c>
      <c r="U45" s="205">
        <v>6</v>
      </c>
      <c r="V45" s="205">
        <v>0</v>
      </c>
      <c r="W45" s="203"/>
      <c r="X45" s="203"/>
      <c r="Y45" s="206"/>
      <c r="Z45" s="207">
        <v>0</v>
      </c>
      <c r="AA45" s="205"/>
      <c r="AB45" s="204" t="s">
        <v>1558</v>
      </c>
      <c r="AC45" s="208"/>
      <c r="AD45" s="209">
        <v>0</v>
      </c>
      <c r="AE45" s="221">
        <v>0</v>
      </c>
      <c r="AF45" s="188"/>
      <c r="AG45" s="189"/>
      <c r="AH45" s="189"/>
      <c r="AI45" s="189"/>
      <c r="AJ45" s="189"/>
      <c r="AK45" s="189"/>
      <c r="AL45" s="189"/>
      <c r="AM45" s="189"/>
      <c r="AN45" s="189" t="str">
        <f>"" &amp; TEXT(AE45,"#0.00%") &amp; " " &amp; "플라스크 서버 구축" &amp; "(원동찬)" &amp; " " &amp; IF(P45="","",TEXT(P45,"M/D-")) &amp; IF(Q45="","",TEXT(Q45,"M/D")) &amp; " "</f>
        <v xml:space="preserve">0.00% 플라스크 서버 구축(원동찬) 5/9-5/16 </v>
      </c>
      <c r="AO45" s="189"/>
      <c r="AP45" s="189"/>
      <c r="AQ45" s="189"/>
      <c r="AR45" s="189"/>
      <c r="AS45" s="189"/>
      <c r="AT45" s="189"/>
      <c r="AU45" s="189"/>
      <c r="AV45" s="189"/>
      <c r="AW45" s="189"/>
      <c r="AX45" s="189"/>
      <c r="AY45" s="189"/>
      <c r="AZ45" s="189"/>
      <c r="BA45" s="189"/>
      <c r="BB45" s="189"/>
      <c r="BC45" s="189"/>
      <c r="BD45" s="189"/>
      <c r="BE45" s="189"/>
      <c r="BF45" s="189"/>
      <c r="BG45" s="189"/>
    </row>
    <row r="46" spans="1:59" ht="12" customHeight="1" outlineLevel="3">
      <c r="A46" s="201"/>
      <c r="B46" s="201"/>
      <c r="C46" s="201">
        <v>4</v>
      </c>
      <c r="D46" s="213" t="s">
        <v>1629</v>
      </c>
      <c r="E46" s="202"/>
      <c r="F46" s="202"/>
      <c r="G46" s="202"/>
      <c r="H46" s="202" t="s">
        <v>1608</v>
      </c>
      <c r="I46" s="202"/>
      <c r="J46" s="202"/>
      <c r="K46" s="202"/>
      <c r="L46" s="202"/>
      <c r="M46" s="202"/>
      <c r="N46" s="202"/>
      <c r="O46" s="202"/>
      <c r="P46" s="203">
        <v>44694</v>
      </c>
      <c r="Q46" s="203">
        <v>44698</v>
      </c>
      <c r="R46" s="204"/>
      <c r="S46" s="205">
        <v>3</v>
      </c>
      <c r="T46" s="205">
        <v>0</v>
      </c>
      <c r="U46" s="205">
        <v>3</v>
      </c>
      <c r="V46" s="205">
        <v>0</v>
      </c>
      <c r="W46" s="203"/>
      <c r="X46" s="203"/>
      <c r="Y46" s="206"/>
      <c r="Z46" s="207">
        <v>0</v>
      </c>
      <c r="AA46" s="205"/>
      <c r="AB46" s="204" t="s">
        <v>1558</v>
      </c>
      <c r="AC46" s="208"/>
      <c r="AD46" s="209">
        <v>0</v>
      </c>
      <c r="AE46" s="221">
        <v>0</v>
      </c>
      <c r="AF46" s="188"/>
      <c r="AG46" s="189"/>
      <c r="AH46" s="189"/>
      <c r="AI46" s="189"/>
      <c r="AJ46" s="189"/>
      <c r="AK46" s="189"/>
      <c r="AL46" s="189"/>
      <c r="AM46" s="189"/>
      <c r="AN46" s="189"/>
      <c r="AO46" s="189"/>
      <c r="AP46" s="189"/>
      <c r="AQ46" s="189"/>
      <c r="AR46" s="189" t="str">
        <f>"" &amp; TEXT(AE46,"#0.00%") &amp; " " &amp; "플라스크 서버 안정화 공정" &amp; "(원동찬)" &amp; " " &amp; IF(P46="","",TEXT(P46,"M/D-")) &amp; IF(Q46="","",TEXT(Q46,"M/D")) &amp; " "</f>
        <v xml:space="preserve">0.00% 플라스크 서버 안정화 공정(원동찬) 5/13-5/17 </v>
      </c>
      <c r="AS46" s="189"/>
      <c r="AT46" s="189"/>
      <c r="AU46" s="189"/>
      <c r="AV46" s="189"/>
      <c r="AW46" s="189"/>
      <c r="AX46" s="189"/>
      <c r="AY46" s="189"/>
      <c r="AZ46" s="189"/>
      <c r="BA46" s="189"/>
      <c r="BB46" s="189"/>
      <c r="BC46" s="189"/>
      <c r="BD46" s="189"/>
      <c r="BE46" s="189"/>
      <c r="BF46" s="189"/>
      <c r="BG46" s="189"/>
    </row>
    <row r="47" spans="1:59" ht="12" customHeight="1" outlineLevel="2">
      <c r="A47" s="201"/>
      <c r="B47" s="201" t="s">
        <v>1539</v>
      </c>
      <c r="C47" s="201">
        <v>3</v>
      </c>
      <c r="D47" s="213" t="s">
        <v>1630</v>
      </c>
      <c r="E47" s="202"/>
      <c r="F47" s="202"/>
      <c r="G47" s="202" t="s">
        <v>1515</v>
      </c>
      <c r="H47" s="202"/>
      <c r="I47" s="202"/>
      <c r="J47" s="202"/>
      <c r="K47" s="202"/>
      <c r="L47" s="202"/>
      <c r="M47" s="202"/>
      <c r="N47" s="202"/>
      <c r="O47" s="202"/>
      <c r="P47" s="203">
        <v>44694</v>
      </c>
      <c r="Q47" s="203">
        <v>44702</v>
      </c>
      <c r="R47" s="204"/>
      <c r="S47" s="205">
        <v>8</v>
      </c>
      <c r="T47" s="205">
        <v>0</v>
      </c>
      <c r="U47" s="205">
        <v>6</v>
      </c>
      <c r="V47" s="205">
        <v>0</v>
      </c>
      <c r="W47" s="203"/>
      <c r="X47" s="203"/>
      <c r="Y47" s="206">
        <v>0</v>
      </c>
      <c r="Z47" s="207">
        <v>0</v>
      </c>
      <c r="AA47" s="205"/>
      <c r="AB47" s="204" t="s">
        <v>1558</v>
      </c>
      <c r="AC47" s="208" t="s">
        <v>1565</v>
      </c>
      <c r="AD47" s="209">
        <v>0</v>
      </c>
      <c r="AE47" s="222">
        <v>0</v>
      </c>
      <c r="AF47" s="188"/>
      <c r="AG47" s="189"/>
      <c r="AH47" s="189"/>
      <c r="AI47" s="189"/>
      <c r="AJ47" s="189"/>
      <c r="AK47" s="189"/>
      <c r="AL47" s="189"/>
      <c r="AM47" s="189"/>
      <c r="AN47" s="189"/>
      <c r="AO47" s="189"/>
      <c r="AP47" s="189"/>
      <c r="AQ47" s="189"/>
      <c r="AR47" s="189" t="str">
        <f>"" &amp; TEXT(AE47,"#0.00%") &amp; " " &amp; "테스트실시" &amp; "(원동찬)" &amp; " " &amp; IF(P47="","",TEXT(P47,"M/D-")) &amp; IF(Q47="","",TEXT(Q47,"M/D")) &amp; " "</f>
        <v xml:space="preserve">0.00% 테스트실시(원동찬) 5/13-5/21 </v>
      </c>
      <c r="AS47" s="189"/>
      <c r="AT47" s="189"/>
      <c r="AU47" s="189"/>
      <c r="AV47" s="189"/>
      <c r="AW47" s="189"/>
      <c r="AX47" s="189"/>
      <c r="AY47" s="189"/>
      <c r="AZ47" s="189"/>
      <c r="BA47" s="189"/>
      <c r="BB47" s="189"/>
      <c r="BC47" s="189"/>
      <c r="BD47" s="189"/>
      <c r="BE47" s="189"/>
      <c r="BF47" s="189"/>
      <c r="BG47" s="189"/>
    </row>
    <row r="48" spans="1:59" ht="12" customHeight="1" outlineLevel="3">
      <c r="A48" s="201"/>
      <c r="B48" s="201"/>
      <c r="C48" s="201">
        <v>4</v>
      </c>
      <c r="D48" s="213" t="s">
        <v>1631</v>
      </c>
      <c r="E48" s="202"/>
      <c r="F48" s="202"/>
      <c r="G48" s="202"/>
      <c r="H48" s="202" t="s">
        <v>1606</v>
      </c>
      <c r="I48" s="202"/>
      <c r="J48" s="202"/>
      <c r="K48" s="202"/>
      <c r="L48" s="202"/>
      <c r="M48" s="202"/>
      <c r="N48" s="202"/>
      <c r="O48" s="202"/>
      <c r="P48" s="203">
        <v>44694</v>
      </c>
      <c r="Q48" s="203">
        <v>44700</v>
      </c>
      <c r="R48" s="204"/>
      <c r="S48" s="205">
        <v>5</v>
      </c>
      <c r="T48" s="205">
        <v>0</v>
      </c>
      <c r="U48" s="205">
        <v>5</v>
      </c>
      <c r="V48" s="205">
        <v>0</v>
      </c>
      <c r="W48" s="203"/>
      <c r="X48" s="203"/>
      <c r="Y48" s="206"/>
      <c r="Z48" s="207">
        <v>0</v>
      </c>
      <c r="AA48" s="205"/>
      <c r="AB48" s="204"/>
      <c r="AC48" s="208"/>
      <c r="AD48" s="209">
        <v>0</v>
      </c>
      <c r="AE48" s="221">
        <v>0</v>
      </c>
      <c r="AF48" s="188"/>
      <c r="AG48" s="189"/>
      <c r="AH48" s="189"/>
      <c r="AI48" s="189"/>
      <c r="AJ48" s="189"/>
      <c r="AK48" s="189"/>
      <c r="AL48" s="189"/>
      <c r="AM48" s="189"/>
      <c r="AN48" s="189"/>
      <c r="AO48" s="189"/>
      <c r="AP48" s="189"/>
      <c r="AQ48" s="189"/>
      <c r="AR48" s="189" t="str">
        <f>"" &amp; TEXT(AE48,"#0.00%") &amp; " " &amp; "플라스크 서버 테스트" &amp; " " &amp; IF(P48="","",TEXT(P48,"M/D-")) &amp; IF(Q48="","",TEXT(Q48,"M/D")) &amp; " "</f>
        <v xml:space="preserve">0.00% 플라스크 서버 테스트 5/13-5/19 </v>
      </c>
      <c r="AS48" s="189"/>
      <c r="AT48" s="189"/>
      <c r="AU48" s="189"/>
      <c r="AV48" s="189"/>
      <c r="AW48" s="189"/>
      <c r="AX48" s="189"/>
      <c r="AY48" s="189"/>
      <c r="AZ48" s="189"/>
      <c r="BA48" s="189"/>
      <c r="BB48" s="189"/>
      <c r="BC48" s="189"/>
      <c r="BD48" s="189"/>
      <c r="BE48" s="189"/>
      <c r="BF48" s="189"/>
      <c r="BG48" s="189"/>
    </row>
    <row r="49" spans="1:59" ht="12" customHeight="1" outlineLevel="3">
      <c r="A49" s="201">
        <v>1</v>
      </c>
      <c r="B49" s="201"/>
      <c r="C49" s="201">
        <v>4</v>
      </c>
      <c r="D49" s="213" t="s">
        <v>1632</v>
      </c>
      <c r="E49" s="202"/>
      <c r="F49" s="202"/>
      <c r="G49" s="202"/>
      <c r="H49" s="202" t="s">
        <v>1517</v>
      </c>
      <c r="I49" s="202"/>
      <c r="J49" s="202"/>
      <c r="K49" s="202"/>
      <c r="L49" s="202"/>
      <c r="M49" s="202"/>
      <c r="N49" s="202"/>
      <c r="O49" s="202"/>
      <c r="P49" s="203">
        <v>44699</v>
      </c>
      <c r="Q49" s="203">
        <v>44701</v>
      </c>
      <c r="R49" s="204"/>
      <c r="S49" s="205">
        <v>0</v>
      </c>
      <c r="T49" s="205">
        <v>0</v>
      </c>
      <c r="U49" s="205">
        <v>3</v>
      </c>
      <c r="V49" s="205">
        <v>0</v>
      </c>
      <c r="W49" s="203"/>
      <c r="X49" s="203"/>
      <c r="Y49" s="206"/>
      <c r="Z49" s="207">
        <v>0</v>
      </c>
      <c r="AA49" s="205">
        <v>1</v>
      </c>
      <c r="AB49" s="204" t="s">
        <v>1557</v>
      </c>
      <c r="AC49" s="208"/>
      <c r="AD49" s="209">
        <v>0</v>
      </c>
      <c r="AE49" s="221">
        <v>0</v>
      </c>
      <c r="AF49" s="188"/>
      <c r="AG49" s="189"/>
      <c r="AH49" s="189"/>
      <c r="AI49" s="189"/>
      <c r="AJ49" s="189"/>
      <c r="AK49" s="189"/>
      <c r="AL49" s="189"/>
      <c r="AM49" s="189"/>
      <c r="AN49" s="189"/>
      <c r="AO49" s="189"/>
      <c r="AP49" s="189"/>
      <c r="AQ49" s="189"/>
      <c r="AR49" s="189"/>
      <c r="AS49" s="189"/>
      <c r="AT49" s="189"/>
      <c r="AU49" s="189"/>
      <c r="AV49" s="189"/>
      <c r="AW49" s="189" t="str">
        <f>"    " &amp; TEXT(AE49,"#0.00%") &amp; " " &amp; "통합테스트실시" &amp; "(권기일, 원동찬, 신재웅, 송민성, 김민중)" &amp; " " &amp; IF(P49="","",TEXT(P49,"M/D-")) &amp; IF(Q49="","",TEXT(Q49,"M/D")) &amp; " "</f>
        <v xml:space="preserve">    0.00% 통합테스트실시(권기일, 원동찬, 신재웅, 송민성, 김민중) 5/18-5/20 </v>
      </c>
      <c r="AX49" s="189"/>
      <c r="AY49" s="189"/>
      <c r="AZ49" s="189"/>
      <c r="BA49" s="189"/>
      <c r="BB49" s="189"/>
      <c r="BC49" s="189"/>
      <c r="BD49" s="189"/>
      <c r="BE49" s="189"/>
      <c r="BF49" s="189"/>
      <c r="BG49" s="189"/>
    </row>
    <row r="50" spans="1:59" ht="12" customHeight="1" outlineLevel="3">
      <c r="A50" s="201"/>
      <c r="B50" s="201"/>
      <c r="C50" s="201">
        <v>4</v>
      </c>
      <c r="D50" s="213" t="s">
        <v>1633</v>
      </c>
      <c r="E50" s="202"/>
      <c r="F50" s="202"/>
      <c r="G50" s="202"/>
      <c r="H50" s="202" t="s">
        <v>1549</v>
      </c>
      <c r="I50" s="202"/>
      <c r="J50" s="202"/>
      <c r="K50" s="202"/>
      <c r="L50" s="202"/>
      <c r="M50" s="202"/>
      <c r="N50" s="202"/>
      <c r="O50" s="202"/>
      <c r="P50" s="203">
        <v>44699</v>
      </c>
      <c r="Q50" s="203">
        <v>44702</v>
      </c>
      <c r="R50" s="204"/>
      <c r="S50" s="205">
        <v>3</v>
      </c>
      <c r="T50" s="205">
        <v>0</v>
      </c>
      <c r="U50" s="205">
        <v>3</v>
      </c>
      <c r="V50" s="205">
        <v>0</v>
      </c>
      <c r="W50" s="203"/>
      <c r="X50" s="203"/>
      <c r="Y50" s="206"/>
      <c r="Z50" s="207">
        <v>0</v>
      </c>
      <c r="AA50" s="205"/>
      <c r="AB50" s="204"/>
      <c r="AC50" s="208"/>
      <c r="AD50" s="209">
        <v>0</v>
      </c>
      <c r="AE50" s="221">
        <v>0</v>
      </c>
      <c r="AF50" s="188"/>
      <c r="AG50" s="189"/>
      <c r="AH50" s="189"/>
      <c r="AI50" s="189"/>
      <c r="AJ50" s="189"/>
      <c r="AK50" s="189"/>
      <c r="AL50" s="189"/>
      <c r="AM50" s="189"/>
      <c r="AN50" s="189"/>
      <c r="AO50" s="189"/>
      <c r="AP50" s="189"/>
      <c r="AQ50" s="189"/>
      <c r="AR50" s="189"/>
      <c r="AS50" s="189"/>
      <c r="AT50" s="189"/>
      <c r="AU50" s="189"/>
      <c r="AV50" s="189"/>
      <c r="AW50" s="189" t="str">
        <f>"" &amp; TEXT(AE50,"#0.00%") &amp; " " &amp; "모듈 안정화" &amp; " " &amp; IF(P50="","",TEXT(P50,"M/D-")) &amp; IF(Q50="","",TEXT(Q50,"M/D")) &amp; " "</f>
        <v xml:space="preserve">0.00% 모듈 안정화 5/18-5/21 </v>
      </c>
      <c r="AX50" s="189"/>
      <c r="AY50" s="189"/>
      <c r="AZ50" s="189"/>
      <c r="BA50" s="189"/>
      <c r="BB50" s="189"/>
      <c r="BC50" s="189"/>
      <c r="BD50" s="189"/>
      <c r="BE50" s="189"/>
      <c r="BF50" s="189"/>
      <c r="BG50" s="189"/>
    </row>
    <row r="51" spans="1:59" ht="12" customHeight="1" outlineLevel="2">
      <c r="A51" s="201"/>
      <c r="B51" s="201" t="s">
        <v>1539</v>
      </c>
      <c r="C51" s="201">
        <v>3</v>
      </c>
      <c r="D51" s="213" t="s">
        <v>1634</v>
      </c>
      <c r="E51" s="202"/>
      <c r="F51" s="202"/>
      <c r="G51" s="202" t="s">
        <v>1519</v>
      </c>
      <c r="H51" s="202"/>
      <c r="I51" s="202"/>
      <c r="J51" s="202"/>
      <c r="K51" s="202"/>
      <c r="L51" s="202"/>
      <c r="M51" s="202"/>
      <c r="N51" s="202"/>
      <c r="O51" s="202"/>
      <c r="P51" s="203">
        <v>44687</v>
      </c>
      <c r="Q51" s="203">
        <v>44705</v>
      </c>
      <c r="R51" s="204"/>
      <c r="S51" s="205">
        <v>12</v>
      </c>
      <c r="T51" s="205">
        <v>1</v>
      </c>
      <c r="U51" s="205">
        <v>13</v>
      </c>
      <c r="V51" s="205">
        <v>1</v>
      </c>
      <c r="W51" s="203"/>
      <c r="X51" s="203"/>
      <c r="Y51" s="206">
        <v>0</v>
      </c>
      <c r="Z51" s="207">
        <v>0</v>
      </c>
      <c r="AA51" s="205"/>
      <c r="AB51" s="204"/>
      <c r="AC51" s="208" t="s">
        <v>1566</v>
      </c>
      <c r="AD51" s="209">
        <v>8.3333333333333329E-2</v>
      </c>
      <c r="AE51" s="212">
        <v>0</v>
      </c>
      <c r="AF51" s="188"/>
      <c r="AG51" s="189"/>
      <c r="AH51" s="189"/>
      <c r="AI51" s="189"/>
      <c r="AJ51" s="189"/>
      <c r="AK51" s="189" t="str">
        <f>"" &amp; TEXT(AE51,"#0.00%") &amp; " " &amp; "Conversion 및 Release" &amp; " " &amp; IF(P51="","",TEXT(P51,"M/D-")) &amp; IF(Q51="","",TEXT(Q51,"M/D")) &amp; " "</f>
        <v xml:space="preserve">0.00% Conversion 및 Release 5/6-5/24 </v>
      </c>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row>
    <row r="52" spans="1:59" ht="12" customHeight="1" outlineLevel="3">
      <c r="A52" s="201"/>
      <c r="B52" s="201"/>
      <c r="C52" s="201">
        <v>4</v>
      </c>
      <c r="D52" s="213" t="s">
        <v>1635</v>
      </c>
      <c r="E52" s="202"/>
      <c r="F52" s="202"/>
      <c r="G52" s="202"/>
      <c r="H52" s="202" t="s">
        <v>1520</v>
      </c>
      <c r="I52" s="202"/>
      <c r="J52" s="202"/>
      <c r="K52" s="202"/>
      <c r="L52" s="202"/>
      <c r="M52" s="202"/>
      <c r="N52" s="202"/>
      <c r="O52" s="202"/>
      <c r="P52" s="203">
        <v>44687</v>
      </c>
      <c r="Q52" s="203">
        <v>44704</v>
      </c>
      <c r="R52" s="204"/>
      <c r="S52" s="205">
        <v>12</v>
      </c>
      <c r="T52" s="205">
        <v>1</v>
      </c>
      <c r="U52" s="205">
        <v>12</v>
      </c>
      <c r="V52" s="205">
        <v>1</v>
      </c>
      <c r="W52" s="203"/>
      <c r="X52" s="203"/>
      <c r="Y52" s="206"/>
      <c r="Z52" s="207">
        <v>0</v>
      </c>
      <c r="AA52" s="205">
        <v>1</v>
      </c>
      <c r="AB52" s="204" t="s">
        <v>1570</v>
      </c>
      <c r="AC52" s="208" t="s">
        <v>1590</v>
      </c>
      <c r="AD52" s="209">
        <v>8.3333333333333329E-2</v>
      </c>
      <c r="AE52" s="211">
        <v>0</v>
      </c>
      <c r="AF52" s="188"/>
      <c r="AG52" s="189"/>
      <c r="AH52" s="189"/>
      <c r="AI52" s="189"/>
      <c r="AJ52" s="189"/>
      <c r="AK52" s="189" t="str">
        <f>"" &amp; TEXT(AE52,"#0.00%") &amp; " " &amp; "데이터베이스구축" &amp; "(신재웅)" &amp; " " &amp; IF(P52="","",TEXT(P52,"M/D-")) &amp; IF(Q52="","",TEXT(Q52,"M/D")) &amp; " "</f>
        <v xml:space="preserve">0.00% 데이터베이스구축(신재웅) 5/6-5/23 </v>
      </c>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row>
    <row r="53" spans="1:59" ht="12" customHeight="1" outlineLevel="3">
      <c r="A53" s="201">
        <v>1</v>
      </c>
      <c r="B53" s="201"/>
      <c r="C53" s="201">
        <v>4</v>
      </c>
      <c r="D53" s="213" t="s">
        <v>1636</v>
      </c>
      <c r="E53" s="202"/>
      <c r="F53" s="202"/>
      <c r="G53" s="202"/>
      <c r="H53" s="202" t="s">
        <v>1538</v>
      </c>
      <c r="I53" s="202"/>
      <c r="J53" s="202"/>
      <c r="K53" s="202"/>
      <c r="L53" s="202"/>
      <c r="M53" s="202"/>
      <c r="N53" s="202"/>
      <c r="O53" s="202"/>
      <c r="P53" s="203">
        <v>44700</v>
      </c>
      <c r="Q53" s="203">
        <v>44705</v>
      </c>
      <c r="R53" s="204"/>
      <c r="S53" s="205">
        <v>0</v>
      </c>
      <c r="T53" s="205">
        <v>0</v>
      </c>
      <c r="U53" s="205">
        <v>4</v>
      </c>
      <c r="V53" s="205">
        <v>0</v>
      </c>
      <c r="W53" s="203"/>
      <c r="X53" s="203"/>
      <c r="Y53" s="206"/>
      <c r="Z53" s="207">
        <v>0</v>
      </c>
      <c r="AA53" s="205">
        <v>1</v>
      </c>
      <c r="AB53" s="204" t="s">
        <v>1558</v>
      </c>
      <c r="AC53" s="208"/>
      <c r="AD53" s="209">
        <v>0</v>
      </c>
      <c r="AE53" s="221">
        <v>0</v>
      </c>
      <c r="AF53" s="188"/>
      <c r="AG53" s="189"/>
      <c r="AH53" s="189"/>
      <c r="AI53" s="189"/>
      <c r="AJ53" s="189"/>
      <c r="AK53" s="189"/>
      <c r="AL53" s="189"/>
      <c r="AM53" s="189"/>
      <c r="AN53" s="189"/>
      <c r="AO53" s="189"/>
      <c r="AP53" s="189"/>
      <c r="AQ53" s="189"/>
      <c r="AR53" s="189"/>
      <c r="AS53" s="189"/>
      <c r="AT53" s="189"/>
      <c r="AU53" s="189"/>
      <c r="AV53" s="189"/>
      <c r="AW53" s="189"/>
      <c r="AX53" s="189" t="str">
        <f>"    " &amp; TEXT(AE53,"#0.00%") &amp; " " &amp; "모듈 출시" &amp; "(원동찬)" &amp; " " &amp; IF(P53="","",TEXT(P53,"M/D-")) &amp; IF(Q53="","",TEXT(Q53,"M/D")) &amp; " "</f>
        <v xml:space="preserve">    0.00% 모듈 출시(원동찬) 5/19-5/24 </v>
      </c>
      <c r="AY53" s="189"/>
      <c r="AZ53" s="189"/>
      <c r="BA53" s="189"/>
      <c r="BB53" s="189"/>
      <c r="BC53" s="189"/>
      <c r="BD53" s="189"/>
      <c r="BE53" s="189"/>
      <c r="BF53" s="189"/>
      <c r="BG53" s="189"/>
    </row>
    <row r="54" spans="1:59" ht="12" customHeight="1">
      <c r="A54" s="190"/>
      <c r="B54" s="190"/>
      <c r="C54" s="190"/>
      <c r="D54" s="191"/>
      <c r="E54" s="192"/>
      <c r="F54" s="192"/>
      <c r="G54" s="192"/>
      <c r="H54" s="192"/>
      <c r="I54" s="192"/>
      <c r="J54" s="192"/>
      <c r="K54" s="192"/>
      <c r="L54" s="192"/>
      <c r="M54" s="192"/>
      <c r="N54" s="192"/>
      <c r="O54" s="192"/>
      <c r="P54" s="193"/>
      <c r="Q54" s="193"/>
      <c r="R54" s="194"/>
      <c r="S54" s="195"/>
      <c r="T54" s="195"/>
      <c r="U54" s="195"/>
      <c r="V54" s="195"/>
      <c r="W54" s="193"/>
      <c r="X54" s="193"/>
      <c r="Y54" s="196"/>
      <c r="Z54" s="197"/>
      <c r="AA54" s="195"/>
      <c r="AB54" s="194"/>
      <c r="AC54" s="198"/>
      <c r="AD54" s="199"/>
      <c r="AE54" s="200"/>
      <c r="AF54" s="187"/>
      <c r="AG54" s="187"/>
      <c r="AH54" s="187"/>
      <c r="AI54" s="187"/>
      <c r="AJ54" s="187"/>
      <c r="AK54" s="187"/>
      <c r="AL54" s="187"/>
      <c r="AM54" s="187"/>
      <c r="AN54" s="187"/>
      <c r="AO54" s="187"/>
      <c r="AP54" s="187"/>
      <c r="AQ54" s="187"/>
      <c r="AR54" s="187"/>
      <c r="AS54" s="187"/>
      <c r="AT54" s="187"/>
      <c r="AU54" s="187"/>
      <c r="AV54" s="187"/>
      <c r="AW54" s="187"/>
      <c r="AX54" s="187"/>
      <c r="AY54" s="187"/>
      <c r="AZ54" s="187"/>
      <c r="BA54" s="187"/>
      <c r="BB54" s="187"/>
      <c r="BC54" s="187"/>
      <c r="BD54" s="187"/>
      <c r="BE54" s="187"/>
      <c r="BF54" s="187"/>
      <c r="BG54" s="187"/>
    </row>
  </sheetData>
  <sheetProtection formatCells="0" formatColumns="0" formatRows="0" insertColumns="0" insertRows="0" insertHyperlinks="0" deleteColumns="0" deleteRows="0" sort="0" autoFilter="0" pivotTables="0"/>
  <dataConsolidate/>
  <mergeCells count="31">
    <mergeCell ref="BA3:BG3"/>
    <mergeCell ref="BA2:BG2"/>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T3:AZ3"/>
    <mergeCell ref="AT2:AZ2"/>
    <mergeCell ref="AF3:AL3"/>
    <mergeCell ref="AF2:AL2"/>
    <mergeCell ref="AM3:AS3"/>
    <mergeCell ref="AM2:AS2"/>
  </mergeCells>
  <phoneticPr fontId="4" type="noConversion"/>
  <conditionalFormatting sqref="AF5:BG53">
    <cfRule type="expression" dxfId="2" priority="3" stopIfTrue="1">
      <formula>COUNTIF(STD_CAL,AF$4)&gt;0</formula>
    </cfRule>
  </conditionalFormatting>
  <conditionalFormatting sqref="D5:AD53">
    <cfRule type="expression" dxfId="1" priority="2">
      <formula>($B5="G")</formula>
    </cfRule>
    <cfRule type="expression" dxfId="0" priority="1">
      <formula>($AE5=1)</formula>
    </cfRule>
  </conditionalFormatting>
  <hyperlinks>
    <hyperlink ref="AF1:BJ1" r:id="rId1" display="https://xlworks.net/xlgantt-project-scheduler/" xr:uid="{2B9CFA53-A1C5-4209-ACE1-B9582189FD2B}"/>
  </hyperlinks>
  <pageMargins left="0.19685039370078741" right="0.23622047244094491" top="0.43307086614173229" bottom="0.23622047244094491" header="0.23622047244094491" footer="0.19685039370078741"/>
  <pageSetup paperSize="9" scale="5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5"/>
  <cols>
    <col min="1" max="1" width="35.33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1542</v>
      </c>
      <c r="B1" s="2"/>
      <c r="C1" s="2"/>
      <c r="D1" s="2"/>
      <c r="E1" s="2"/>
      <c r="F1" s="2"/>
      <c r="G1" s="2"/>
      <c r="H1" s="2"/>
      <c r="I1" s="2"/>
      <c r="J1" s="2"/>
      <c r="K1" s="2"/>
      <c r="L1" s="285"/>
      <c r="M1" s="286"/>
      <c r="N1" s="286"/>
      <c r="O1" s="3"/>
      <c r="P1" s="3"/>
      <c r="Q1" s="3"/>
    </row>
    <row r="2" spans="1:17" s="7" customFormat="1" ht="13">
      <c r="A2" s="5" t="s">
        <v>1447</v>
      </c>
      <c r="B2" s="6"/>
    </row>
    <row r="3" spans="1:17" s="7" customFormat="1" ht="13">
      <c r="A3" s="5" t="s">
        <v>1448</v>
      </c>
      <c r="B3" s="6"/>
    </row>
    <row r="4" spans="1:17" s="7" customFormat="1" ht="13">
      <c r="A4" s="287"/>
      <c r="B4" s="287"/>
      <c r="C4" s="8"/>
      <c r="D4" s="9"/>
      <c r="E4" s="9"/>
      <c r="F4" s="9"/>
    </row>
    <row r="5" spans="1:17" s="15" customFormat="1" ht="13">
      <c r="A5" s="10"/>
      <c r="B5" s="11"/>
      <c r="C5" s="12"/>
      <c r="D5" s="13"/>
      <c r="E5" s="14"/>
      <c r="F5" s="14"/>
      <c r="G5" s="14"/>
    </row>
    <row r="6" spans="1:17" s="15" customFormat="1" ht="13">
      <c r="A6" s="16" t="s">
        <v>1449</v>
      </c>
      <c r="B6" s="17">
        <v>242</v>
      </c>
      <c r="C6" s="15" t="s">
        <v>0</v>
      </c>
      <c r="D6" s="284" t="s">
        <v>1450</v>
      </c>
      <c r="E6" s="284"/>
      <c r="F6" s="284"/>
      <c r="G6" s="284"/>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1451</v>
      </c>
      <c r="B9" s="17">
        <v>111</v>
      </c>
      <c r="C9" s="15" t="s">
        <v>0</v>
      </c>
      <c r="D9" s="283" t="s">
        <v>1452</v>
      </c>
      <c r="E9" s="283"/>
      <c r="F9" s="283"/>
      <c r="G9" s="283"/>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1445</v>
      </c>
      <c r="B12" s="17">
        <v>76.7</v>
      </c>
      <c r="C12" s="15" t="s">
        <v>0</v>
      </c>
      <c r="D12" s="288" t="s">
        <v>1446</v>
      </c>
      <c r="E12" s="283"/>
      <c r="F12" s="283"/>
      <c r="G12" s="283"/>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1453</v>
      </c>
      <c r="B15" s="17"/>
      <c r="C15" s="15" t="s">
        <v>0</v>
      </c>
      <c r="D15" s="283" t="s">
        <v>1454</v>
      </c>
      <c r="E15" s="283"/>
      <c r="F15" s="283"/>
      <c r="G15" s="283"/>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1455</v>
      </c>
      <c r="B18" s="39">
        <v>0.45867768595041325</v>
      </c>
      <c r="D18" s="283" t="s">
        <v>1456</v>
      </c>
      <c r="E18" s="283"/>
      <c r="F18" s="283"/>
      <c r="G18" s="283"/>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1457</v>
      </c>
      <c r="B21" s="39">
        <v>0.31694214876033061</v>
      </c>
      <c r="D21" s="283" t="s">
        <v>1458</v>
      </c>
      <c r="E21" s="283"/>
      <c r="F21" s="283"/>
      <c r="G21" s="283"/>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1459</v>
      </c>
      <c r="B24" s="49">
        <f>ACTUAL_RATE-PLANNED_RATE</f>
        <v>-0.14173553719008264</v>
      </c>
      <c r="D24" s="284" t="s">
        <v>1460</v>
      </c>
      <c r="E24" s="284"/>
      <c r="F24" s="284"/>
      <c r="G24" s="284"/>
    </row>
    <row r="25" spans="1:7" s="15" customFormat="1" ht="13">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0"/>
  <sheetViews>
    <sheetView showGridLines="0" zoomScale="80" zoomScaleNormal="80" workbookViewId="0">
      <pane ySplit="1" topLeftCell="A2" activePane="bottomLeft" state="frozen"/>
      <selection pane="bottomLeft" activeCell="B7" sqref="B7"/>
    </sheetView>
  </sheetViews>
  <sheetFormatPr defaultColWidth="9.08203125" defaultRowHeight="14.5"/>
  <cols>
    <col min="1" max="1" width="1.58203125" style="136" customWidth="1"/>
    <col min="2" max="3" width="10.1640625" style="136" bestFit="1" customWidth="1"/>
    <col min="4" max="4" width="9.08203125" style="136"/>
    <col min="5" max="5" width="10.58203125" style="136" customWidth="1"/>
    <col min="6" max="6" width="9.08203125" style="215"/>
    <col min="7" max="12" width="9.08203125" style="92"/>
    <col min="13" max="16384" width="9.08203125" style="136"/>
  </cols>
  <sheetData>
    <row r="1" spans="2:12" ht="37" customHeight="1">
      <c r="B1" s="62" t="s">
        <v>1573</v>
      </c>
    </row>
    <row r="2" spans="2:12">
      <c r="B2" s="136" t="s">
        <v>1574</v>
      </c>
    </row>
    <row r="3" spans="2:12">
      <c r="B3" s="136" t="s">
        <v>1575</v>
      </c>
    </row>
    <row r="6" spans="2:12" ht="43.5">
      <c r="B6" s="63" t="s">
        <v>557</v>
      </c>
      <c r="C6" s="91" t="s">
        <v>558</v>
      </c>
      <c r="D6" s="91" t="s">
        <v>1576</v>
      </c>
      <c r="E6" s="91" t="s">
        <v>1577</v>
      </c>
      <c r="F6" s="216" t="s">
        <v>1578</v>
      </c>
      <c r="G6" s="217" t="s">
        <v>1579</v>
      </c>
      <c r="H6" s="217" t="s">
        <v>1580</v>
      </c>
      <c r="I6" s="217" t="s">
        <v>1581</v>
      </c>
      <c r="J6" s="217" t="s">
        <v>1582</v>
      </c>
      <c r="K6" s="217" t="s">
        <v>1583</v>
      </c>
      <c r="L6" s="218" t="s">
        <v>1584</v>
      </c>
    </row>
    <row r="7" spans="2:12">
      <c r="B7" s="223">
        <v>44683</v>
      </c>
      <c r="C7" s="223">
        <v>44688</v>
      </c>
      <c r="D7" s="224">
        <v>87</v>
      </c>
      <c r="E7" s="224">
        <f>D7</f>
        <v>87</v>
      </c>
      <c r="F7" s="225">
        <f t="shared" ref="F7:F9" si="0">E7/$D$10</f>
        <v>0.49714285714285716</v>
      </c>
      <c r="G7" s="226">
        <v>49.199999999999996</v>
      </c>
      <c r="H7" s="226">
        <f>G7</f>
        <v>49.199999999999996</v>
      </c>
      <c r="I7" s="225">
        <f>H7/$D$10</f>
        <v>0.28114285714285714</v>
      </c>
      <c r="J7" s="226"/>
      <c r="K7" s="226">
        <f>J7</f>
        <v>0</v>
      </c>
      <c r="L7" s="225">
        <f>K7/$D$10</f>
        <v>0</v>
      </c>
    </row>
    <row r="8" spans="2:12">
      <c r="B8" s="227">
        <v>44689</v>
      </c>
      <c r="C8" s="227">
        <v>44695</v>
      </c>
      <c r="D8" s="228">
        <v>48</v>
      </c>
      <c r="E8" s="228">
        <f>E7+D8</f>
        <v>135</v>
      </c>
      <c r="F8" s="229">
        <f t="shared" si="0"/>
        <v>0.77142857142857146</v>
      </c>
      <c r="G8" s="230"/>
      <c r="H8" s="230"/>
      <c r="I8" s="230"/>
      <c r="J8" s="230"/>
      <c r="K8" s="230"/>
      <c r="L8" s="230"/>
    </row>
    <row r="9" spans="2:12">
      <c r="B9" s="227">
        <v>44696</v>
      </c>
      <c r="C9" s="227">
        <v>44702</v>
      </c>
      <c r="D9" s="228">
        <v>40</v>
      </c>
      <c r="E9" s="228">
        <f>E8+D9</f>
        <v>175</v>
      </c>
      <c r="F9" s="229">
        <f t="shared" si="0"/>
        <v>1</v>
      </c>
      <c r="G9" s="230"/>
      <c r="H9" s="230"/>
      <c r="I9" s="230"/>
      <c r="J9" s="230"/>
      <c r="K9" s="230"/>
      <c r="L9" s="230"/>
    </row>
    <row r="10" spans="2:12">
      <c r="C10" s="136" t="s">
        <v>1585</v>
      </c>
      <c r="D10" s="136">
        <f>SUM(D7:D9)</f>
        <v>175</v>
      </c>
      <c r="G10" s="92">
        <f>SUM(G7:G9)</f>
        <v>49.199999999999996</v>
      </c>
      <c r="J10" s="92">
        <f>SUM(J7:J9)</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D9" sqref="D9"/>
    </sheetView>
  </sheetViews>
  <sheetFormatPr defaultColWidth="10" defaultRowHeight="14.5"/>
  <cols>
    <col min="1" max="1" width="31.58203125" style="68" customWidth="1"/>
    <col min="2" max="2" width="14.5" style="68" customWidth="1"/>
    <col min="3" max="3" width="7.58203125" style="68" customWidth="1"/>
    <col min="4" max="4" width="21.5" style="68" customWidth="1"/>
    <col min="5" max="5" width="14.08203125" style="68" customWidth="1"/>
    <col min="6" max="6" width="10" style="68"/>
    <col min="7" max="7" width="24.25" style="68" customWidth="1"/>
    <col min="8" max="8" width="18.33203125" style="68" bestFit="1" customWidth="1"/>
    <col min="9" max="9" width="11.08203125" style="68" bestFit="1" customWidth="1"/>
    <col min="10" max="10" width="27.33203125" style="68" bestFit="1" customWidth="1"/>
    <col min="11" max="19" width="10" style="68"/>
    <col min="20" max="23" width="10" style="68" customWidth="1"/>
    <col min="24" max="26" width="10" style="68"/>
    <col min="27" max="27" width="0" style="68" hidden="1" customWidth="1"/>
    <col min="28" max="16384" width="10" style="68"/>
  </cols>
  <sheetData>
    <row r="1" spans="1:9" s="64" customFormat="1" ht="37" customHeight="1">
      <c r="A1" s="1" t="s">
        <v>1479</v>
      </c>
      <c r="B1" s="1"/>
      <c r="C1" s="1"/>
      <c r="D1" s="1"/>
      <c r="E1" s="1"/>
      <c r="F1" s="1"/>
      <c r="G1" s="1"/>
      <c r="H1" s="1"/>
    </row>
    <row r="2" spans="1:9" s="65" customFormat="1" ht="78.75" customHeight="1">
      <c r="A2" s="289" t="s">
        <v>1480</v>
      </c>
      <c r="B2" s="289"/>
      <c r="C2" s="289"/>
      <c r="D2" s="289"/>
      <c r="E2" s="289"/>
      <c r="F2" s="289"/>
      <c r="G2" s="289"/>
      <c r="H2" s="289"/>
    </row>
    <row r="3" spans="1:9" s="65" customFormat="1" ht="24.75" customHeight="1">
      <c r="A3" s="290" t="s">
        <v>1481</v>
      </c>
      <c r="B3" s="290"/>
      <c r="D3" s="290" t="s">
        <v>1482</v>
      </c>
      <c r="E3" s="290"/>
      <c r="G3" s="290" t="s">
        <v>1483</v>
      </c>
      <c r="H3" s="290"/>
    </row>
    <row r="4" spans="1:9" s="67" customFormat="1" ht="19.5" customHeight="1">
      <c r="A4" s="66" t="s">
        <v>1484</v>
      </c>
      <c r="B4" s="66" t="s">
        <v>1485</v>
      </c>
      <c r="D4" s="66" t="s">
        <v>1484</v>
      </c>
      <c r="E4" s="66" t="s">
        <v>1485</v>
      </c>
      <c r="G4" s="66" t="s">
        <v>1484</v>
      </c>
      <c r="H4" s="66" t="s">
        <v>1485</v>
      </c>
    </row>
    <row r="5" spans="1:9" s="97" customFormat="1" ht="17">
      <c r="A5" s="95" t="s">
        <v>1128</v>
      </c>
      <c r="B5" s="96">
        <v>43831</v>
      </c>
      <c r="C5" s="97" t="str">
        <f t="shared" ref="C5:C68" si="0">IF(B5&gt;0,TEXT(B5,"(aaa)"),"")</f>
        <v>(수)</v>
      </c>
      <c r="D5" s="98" t="s">
        <v>1529</v>
      </c>
      <c r="E5" s="99">
        <v>44697</v>
      </c>
      <c r="F5" s="97" t="str">
        <f t="shared" ref="F5:F68" si="1">IF(E5&gt;0,TEXT(E5,"(aaa)"),"")</f>
        <v>(월)</v>
      </c>
      <c r="G5" s="98"/>
      <c r="H5" s="99"/>
      <c r="I5" s="97" t="str">
        <f t="shared" ref="I5:I68" si="2">IF(H5&gt;0,TEXT(H5,"(aaa)"),"")</f>
        <v/>
      </c>
    </row>
    <row r="6" spans="1:9" s="97" customFormat="1" ht="17">
      <c r="A6" s="95" t="s">
        <v>1129</v>
      </c>
      <c r="B6" s="96">
        <v>43854</v>
      </c>
      <c r="C6" s="97" t="str">
        <f t="shared" si="0"/>
        <v>(금)</v>
      </c>
      <c r="D6" s="98"/>
      <c r="E6" s="99"/>
      <c r="F6" s="97" t="str">
        <f t="shared" si="1"/>
        <v/>
      </c>
      <c r="G6" s="98"/>
      <c r="H6" s="99"/>
      <c r="I6" s="97" t="str">
        <f t="shared" si="2"/>
        <v/>
      </c>
    </row>
    <row r="7" spans="1:9" s="97" customFormat="1" ht="17">
      <c r="A7" s="95" t="s">
        <v>1317</v>
      </c>
      <c r="B7" s="96">
        <v>43857</v>
      </c>
      <c r="C7" s="97" t="str">
        <f t="shared" si="0"/>
        <v>(월)</v>
      </c>
      <c r="D7" s="98"/>
      <c r="E7" s="99"/>
      <c r="F7" s="97" t="str">
        <f t="shared" si="1"/>
        <v/>
      </c>
      <c r="G7" s="98"/>
      <c r="H7" s="99"/>
      <c r="I7" s="97" t="str">
        <f t="shared" si="2"/>
        <v/>
      </c>
    </row>
    <row r="8" spans="1:9" s="97" customFormat="1" ht="17">
      <c r="A8" s="95" t="s">
        <v>1318</v>
      </c>
      <c r="B8" s="96">
        <v>43936</v>
      </c>
      <c r="C8" s="97" t="str">
        <f t="shared" si="0"/>
        <v>(수)</v>
      </c>
      <c r="D8" s="98"/>
      <c r="E8" s="99"/>
      <c r="F8" s="97" t="str">
        <f t="shared" si="1"/>
        <v/>
      </c>
      <c r="G8" s="98"/>
      <c r="H8" s="99"/>
      <c r="I8" s="97" t="str">
        <f t="shared" si="2"/>
        <v/>
      </c>
    </row>
    <row r="9" spans="1:9" s="97" customFormat="1" ht="17">
      <c r="A9" s="95" t="s">
        <v>1319</v>
      </c>
      <c r="B9" s="96">
        <v>43951</v>
      </c>
      <c r="C9" s="97" t="str">
        <f t="shared" si="0"/>
        <v>(목)</v>
      </c>
      <c r="D9" s="98"/>
      <c r="E9" s="99"/>
      <c r="F9" s="97" t="str">
        <f t="shared" si="1"/>
        <v/>
      </c>
      <c r="G9" s="98"/>
      <c r="H9" s="99"/>
      <c r="I9" s="97" t="str">
        <f t="shared" si="2"/>
        <v/>
      </c>
    </row>
    <row r="10" spans="1:9" s="97" customFormat="1" ht="17">
      <c r="A10" s="95" t="s">
        <v>1320</v>
      </c>
      <c r="B10" s="96">
        <v>43956</v>
      </c>
      <c r="C10" s="97" t="str">
        <f t="shared" si="0"/>
        <v>(화)</v>
      </c>
      <c r="D10" s="98"/>
      <c r="E10" s="99"/>
      <c r="F10" s="97" t="str">
        <f t="shared" si="1"/>
        <v/>
      </c>
      <c r="G10" s="98"/>
      <c r="H10" s="99"/>
      <c r="I10" s="97" t="str">
        <f t="shared" si="2"/>
        <v/>
      </c>
    </row>
    <row r="11" spans="1:9" s="97" customFormat="1" ht="17">
      <c r="A11" s="95" t="s">
        <v>1325</v>
      </c>
      <c r="B11" s="96">
        <v>44060</v>
      </c>
      <c r="C11" s="97" t="str">
        <f t="shared" si="0"/>
        <v>(월)</v>
      </c>
      <c r="D11" s="98"/>
      <c r="E11" s="99"/>
      <c r="F11" s="97" t="str">
        <f t="shared" si="1"/>
        <v/>
      </c>
      <c r="G11" s="98"/>
      <c r="H11" s="99"/>
      <c r="I11" s="97" t="str">
        <f t="shared" si="2"/>
        <v/>
      </c>
    </row>
    <row r="12" spans="1:9" s="97" customFormat="1" ht="17">
      <c r="A12" s="95" t="s">
        <v>1321</v>
      </c>
      <c r="B12" s="96">
        <v>44104</v>
      </c>
      <c r="C12" s="97" t="str">
        <f t="shared" si="0"/>
        <v>(수)</v>
      </c>
      <c r="D12" s="98"/>
      <c r="E12" s="99"/>
      <c r="F12" s="97" t="str">
        <f t="shared" si="1"/>
        <v/>
      </c>
      <c r="G12" s="98"/>
      <c r="H12" s="99"/>
      <c r="I12" s="97" t="str">
        <f t="shared" si="2"/>
        <v/>
      </c>
    </row>
    <row r="13" spans="1:9" s="97" customFormat="1" ht="17">
      <c r="A13" s="95" t="s">
        <v>1322</v>
      </c>
      <c r="B13" s="96">
        <v>44105</v>
      </c>
      <c r="C13" s="97" t="str">
        <f t="shared" si="0"/>
        <v>(목)</v>
      </c>
      <c r="D13" s="98"/>
      <c r="E13" s="99"/>
      <c r="F13" s="97" t="str">
        <f t="shared" si="1"/>
        <v/>
      </c>
      <c r="G13" s="98"/>
      <c r="H13" s="99"/>
      <c r="I13" s="97" t="str">
        <f t="shared" si="2"/>
        <v/>
      </c>
    </row>
    <row r="14" spans="1:9" s="97" customFormat="1" ht="17">
      <c r="A14" s="95" t="s">
        <v>1321</v>
      </c>
      <c r="B14" s="96">
        <v>44106</v>
      </c>
      <c r="C14" s="97" t="str">
        <f t="shared" si="0"/>
        <v>(금)</v>
      </c>
      <c r="D14" s="98"/>
      <c r="E14" s="99"/>
      <c r="F14" s="97" t="str">
        <f t="shared" si="1"/>
        <v/>
      </c>
      <c r="G14" s="98"/>
      <c r="H14" s="99"/>
      <c r="I14" s="97" t="str">
        <f t="shared" si="2"/>
        <v/>
      </c>
    </row>
    <row r="15" spans="1:9" s="97" customFormat="1" ht="17">
      <c r="A15" s="95" t="s">
        <v>1323</v>
      </c>
      <c r="B15" s="96">
        <v>44113</v>
      </c>
      <c r="C15" s="97" t="str">
        <f t="shared" si="0"/>
        <v>(금)</v>
      </c>
      <c r="D15" s="98"/>
      <c r="E15" s="99"/>
      <c r="F15" s="97" t="str">
        <f t="shared" si="1"/>
        <v/>
      </c>
      <c r="G15" s="98"/>
      <c r="H15" s="99"/>
      <c r="I15" s="97" t="str">
        <f t="shared" si="2"/>
        <v/>
      </c>
    </row>
    <row r="16" spans="1:9" s="97" customFormat="1" ht="17">
      <c r="A16" s="95" t="s">
        <v>1324</v>
      </c>
      <c r="B16" s="96">
        <v>44190</v>
      </c>
      <c r="C16" s="97" t="str">
        <f t="shared" si="0"/>
        <v>(금)</v>
      </c>
      <c r="D16" s="98"/>
      <c r="E16" s="99"/>
      <c r="F16" s="97" t="str">
        <f t="shared" si="1"/>
        <v/>
      </c>
      <c r="G16" s="98"/>
      <c r="H16" s="99"/>
      <c r="I16" s="97" t="str">
        <f t="shared" si="2"/>
        <v/>
      </c>
    </row>
    <row r="17" spans="1:10" s="97" customFormat="1" ht="17">
      <c r="A17" s="95" t="s">
        <v>1326</v>
      </c>
      <c r="B17" s="96">
        <v>44197</v>
      </c>
      <c r="C17" s="97" t="str">
        <f t="shared" si="0"/>
        <v>(금)</v>
      </c>
      <c r="D17" s="98"/>
      <c r="E17" s="99"/>
      <c r="F17" s="97" t="str">
        <f t="shared" si="1"/>
        <v/>
      </c>
      <c r="G17" s="98"/>
      <c r="H17" s="99"/>
      <c r="I17" s="97" t="str">
        <f t="shared" si="2"/>
        <v/>
      </c>
    </row>
    <row r="18" spans="1:10" s="97" customFormat="1" ht="17">
      <c r="A18" s="95" t="s">
        <v>1327</v>
      </c>
      <c r="B18" s="96">
        <v>44238</v>
      </c>
      <c r="C18" s="97" t="str">
        <f t="shared" si="0"/>
        <v>(목)</v>
      </c>
      <c r="D18" s="98"/>
      <c r="E18" s="99"/>
      <c r="F18" s="97" t="str">
        <f t="shared" si="1"/>
        <v/>
      </c>
      <c r="G18" s="98"/>
      <c r="H18" s="99"/>
      <c r="I18" s="97" t="str">
        <f t="shared" si="2"/>
        <v/>
      </c>
    </row>
    <row r="19" spans="1:10" s="97" customFormat="1" ht="17.5">
      <c r="A19" s="95" t="s">
        <v>1328</v>
      </c>
      <c r="B19" s="96">
        <v>44239</v>
      </c>
      <c r="C19" s="97" t="str">
        <f t="shared" si="0"/>
        <v>(금)</v>
      </c>
      <c r="D19" s="98"/>
      <c r="E19" s="99"/>
      <c r="F19" s="97" t="str">
        <f t="shared" si="1"/>
        <v/>
      </c>
      <c r="G19" s="98"/>
      <c r="H19" s="99"/>
      <c r="I19" s="97" t="str">
        <f t="shared" si="2"/>
        <v/>
      </c>
      <c r="J19" s="100"/>
    </row>
    <row r="20" spans="1:10" s="97" customFormat="1" ht="17.5">
      <c r="A20" s="95" t="s">
        <v>1329</v>
      </c>
      <c r="B20" s="96">
        <v>44256</v>
      </c>
      <c r="C20" s="97" t="str">
        <f t="shared" si="0"/>
        <v>(월)</v>
      </c>
      <c r="D20" s="98"/>
      <c r="E20" s="99"/>
      <c r="F20" s="97" t="str">
        <f t="shared" si="1"/>
        <v/>
      </c>
      <c r="G20" s="98"/>
      <c r="H20" s="99"/>
      <c r="I20" s="97" t="str">
        <f t="shared" si="2"/>
        <v/>
      </c>
      <c r="J20" s="100"/>
    </row>
    <row r="21" spans="1:10" s="97" customFormat="1" ht="17">
      <c r="A21" s="95" t="s">
        <v>1330</v>
      </c>
      <c r="B21" s="96">
        <v>44321</v>
      </c>
      <c r="C21" s="97" t="str">
        <f t="shared" si="0"/>
        <v>(수)</v>
      </c>
      <c r="D21" s="98"/>
      <c r="E21" s="99"/>
      <c r="F21" s="97" t="str">
        <f t="shared" si="1"/>
        <v/>
      </c>
      <c r="G21" s="98"/>
      <c r="H21" s="99"/>
      <c r="I21" s="97" t="str">
        <f t="shared" si="2"/>
        <v/>
      </c>
    </row>
    <row r="22" spans="1:10" s="97" customFormat="1" ht="17">
      <c r="A22" s="95" t="s">
        <v>1331</v>
      </c>
      <c r="B22" s="96">
        <v>44335</v>
      </c>
      <c r="C22" s="97" t="str">
        <f t="shared" si="0"/>
        <v>(수)</v>
      </c>
      <c r="D22" s="98"/>
      <c r="E22" s="99"/>
      <c r="F22" s="97" t="str">
        <f t="shared" si="1"/>
        <v/>
      </c>
      <c r="G22" s="98"/>
      <c r="H22" s="99"/>
      <c r="I22" s="97" t="str">
        <f t="shared" si="2"/>
        <v/>
      </c>
    </row>
    <row r="23" spans="1:10" s="97" customFormat="1" ht="17">
      <c r="A23" s="95" t="s">
        <v>1332</v>
      </c>
      <c r="B23" s="96">
        <v>44459</v>
      </c>
      <c r="C23" s="97" t="str">
        <f t="shared" si="0"/>
        <v>(월)</v>
      </c>
      <c r="D23" s="98"/>
      <c r="E23" s="99"/>
      <c r="F23" s="97" t="str">
        <f t="shared" si="1"/>
        <v/>
      </c>
      <c r="G23" s="98"/>
      <c r="H23" s="99"/>
      <c r="I23" s="97" t="str">
        <f t="shared" si="2"/>
        <v/>
      </c>
    </row>
    <row r="24" spans="1:10" s="97" customFormat="1" ht="17">
      <c r="A24" s="95" t="s">
        <v>1333</v>
      </c>
      <c r="B24" s="96">
        <v>44460</v>
      </c>
      <c r="C24" s="97" t="str">
        <f t="shared" si="0"/>
        <v>(화)</v>
      </c>
      <c r="D24" s="98"/>
      <c r="E24" s="99"/>
      <c r="F24" s="97" t="str">
        <f t="shared" si="1"/>
        <v/>
      </c>
      <c r="G24" s="98"/>
      <c r="H24" s="99"/>
      <c r="I24" s="97" t="str">
        <f t="shared" si="2"/>
        <v/>
      </c>
    </row>
    <row r="25" spans="1:10" s="97" customFormat="1" ht="17">
      <c r="A25" s="95" t="s">
        <v>1332</v>
      </c>
      <c r="B25" s="96">
        <v>44461</v>
      </c>
      <c r="C25" s="97" t="str">
        <f t="shared" si="0"/>
        <v>(수)</v>
      </c>
      <c r="D25" s="98"/>
      <c r="E25" s="99"/>
      <c r="F25" s="97" t="str">
        <f t="shared" si="1"/>
        <v/>
      </c>
      <c r="G25" s="98"/>
      <c r="H25" s="99"/>
      <c r="I25" s="97" t="str">
        <f t="shared" si="2"/>
        <v/>
      </c>
    </row>
    <row r="26" spans="1:10" s="97" customFormat="1" ht="17">
      <c r="A26" s="95" t="s">
        <v>1528</v>
      </c>
      <c r="B26" s="96">
        <v>44686</v>
      </c>
      <c r="C26" s="97" t="str">
        <f t="shared" si="0"/>
        <v>(목)</v>
      </c>
      <c r="D26" s="98"/>
      <c r="E26" s="99"/>
      <c r="F26" s="97" t="str">
        <f t="shared" si="1"/>
        <v/>
      </c>
      <c r="G26" s="98"/>
      <c r="H26" s="99"/>
      <c r="I26" s="97" t="str">
        <f t="shared" si="2"/>
        <v/>
      </c>
    </row>
    <row r="27" spans="1:10" s="97" customFormat="1" ht="17">
      <c r="A27" s="95"/>
      <c r="B27" s="96"/>
      <c r="C27" s="97" t="str">
        <f t="shared" si="0"/>
        <v/>
      </c>
      <c r="D27" s="98"/>
      <c r="E27" s="99"/>
      <c r="F27" s="97" t="str">
        <f t="shared" si="1"/>
        <v/>
      </c>
      <c r="G27" s="98"/>
      <c r="H27" s="99"/>
      <c r="I27" s="97" t="str">
        <f t="shared" si="2"/>
        <v/>
      </c>
    </row>
    <row r="28" spans="1:10" s="97" customFormat="1" ht="17">
      <c r="A28" s="95"/>
      <c r="B28" s="96"/>
      <c r="C28" s="97" t="str">
        <f t="shared" si="0"/>
        <v/>
      </c>
      <c r="D28" s="98"/>
      <c r="E28" s="99"/>
      <c r="F28" s="97" t="str">
        <f t="shared" si="1"/>
        <v/>
      </c>
      <c r="G28" s="98"/>
      <c r="H28" s="99"/>
      <c r="I28" s="97" t="str">
        <f t="shared" si="2"/>
        <v/>
      </c>
    </row>
    <row r="29" spans="1:10" s="97" customFormat="1" ht="17">
      <c r="A29" s="95"/>
      <c r="B29" s="96"/>
      <c r="C29" s="97" t="str">
        <f t="shared" si="0"/>
        <v/>
      </c>
      <c r="D29" s="98"/>
      <c r="E29" s="99"/>
      <c r="F29" s="97" t="str">
        <f t="shared" si="1"/>
        <v/>
      </c>
      <c r="G29" s="98"/>
      <c r="H29" s="99"/>
      <c r="I29" s="97" t="str">
        <f t="shared" si="2"/>
        <v/>
      </c>
    </row>
    <row r="30" spans="1:10" s="97" customFormat="1" ht="17">
      <c r="A30" s="95"/>
      <c r="B30" s="96"/>
      <c r="C30" s="97" t="str">
        <f t="shared" si="0"/>
        <v/>
      </c>
      <c r="D30" s="98"/>
      <c r="E30" s="99"/>
      <c r="F30" s="97" t="str">
        <f t="shared" si="1"/>
        <v/>
      </c>
      <c r="G30" s="98"/>
      <c r="H30" s="99"/>
      <c r="I30" s="97" t="str">
        <f t="shared" si="2"/>
        <v/>
      </c>
    </row>
    <row r="31" spans="1:10" s="97" customFormat="1" ht="17">
      <c r="A31" s="95"/>
      <c r="B31" s="96"/>
      <c r="C31" s="97" t="str">
        <f t="shared" si="0"/>
        <v/>
      </c>
      <c r="D31" s="98"/>
      <c r="E31" s="99"/>
      <c r="F31" s="97" t="str">
        <f t="shared" si="1"/>
        <v/>
      </c>
      <c r="G31" s="98"/>
      <c r="H31" s="99"/>
      <c r="I31" s="97" t="str">
        <f t="shared" si="2"/>
        <v/>
      </c>
    </row>
    <row r="32" spans="1:10" s="97" customFormat="1" ht="17">
      <c r="A32" s="95"/>
      <c r="B32" s="96"/>
      <c r="C32" s="97" t="str">
        <f t="shared" si="0"/>
        <v/>
      </c>
      <c r="D32" s="98"/>
      <c r="E32" s="99"/>
      <c r="F32" s="97" t="str">
        <f t="shared" si="1"/>
        <v/>
      </c>
      <c r="G32" s="98"/>
      <c r="H32" s="99"/>
      <c r="I32" s="97" t="str">
        <f t="shared" si="2"/>
        <v/>
      </c>
    </row>
    <row r="33" spans="1:9" s="97" customFormat="1" ht="17">
      <c r="A33" s="95"/>
      <c r="B33" s="96"/>
      <c r="C33" s="97" t="str">
        <f t="shared" si="0"/>
        <v/>
      </c>
      <c r="D33" s="98"/>
      <c r="E33" s="99"/>
      <c r="F33" s="97" t="str">
        <f t="shared" si="1"/>
        <v/>
      </c>
      <c r="G33" s="98"/>
      <c r="H33" s="99"/>
      <c r="I33" s="97" t="str">
        <f t="shared" si="2"/>
        <v/>
      </c>
    </row>
    <row r="34" spans="1:9" s="97" customFormat="1" ht="17">
      <c r="A34" s="95"/>
      <c r="B34" s="96"/>
      <c r="C34" s="97" t="str">
        <f t="shared" si="0"/>
        <v/>
      </c>
      <c r="D34" s="98"/>
      <c r="E34" s="99"/>
      <c r="F34" s="97" t="str">
        <f t="shared" si="1"/>
        <v/>
      </c>
      <c r="G34" s="98"/>
      <c r="H34" s="99"/>
      <c r="I34" s="97" t="str">
        <f t="shared" si="2"/>
        <v/>
      </c>
    </row>
    <row r="35" spans="1:9" s="97" customFormat="1" ht="17">
      <c r="A35" s="95"/>
      <c r="B35" s="96"/>
      <c r="C35" s="97" t="str">
        <f t="shared" si="0"/>
        <v/>
      </c>
      <c r="D35" s="98"/>
      <c r="E35" s="99"/>
      <c r="F35" s="97" t="str">
        <f t="shared" si="1"/>
        <v/>
      </c>
      <c r="G35" s="98"/>
      <c r="H35" s="99"/>
      <c r="I35" s="97" t="str">
        <f t="shared" si="2"/>
        <v/>
      </c>
    </row>
    <row r="36" spans="1:9" s="97" customFormat="1" ht="17">
      <c r="A36" s="95"/>
      <c r="B36" s="96"/>
      <c r="C36" s="97" t="str">
        <f t="shared" si="0"/>
        <v/>
      </c>
      <c r="D36" s="98"/>
      <c r="E36" s="99"/>
      <c r="F36" s="97" t="str">
        <f t="shared" si="1"/>
        <v/>
      </c>
      <c r="G36" s="98"/>
      <c r="H36" s="99"/>
      <c r="I36" s="97" t="str">
        <f t="shared" si="2"/>
        <v/>
      </c>
    </row>
    <row r="37" spans="1:9" s="97" customFormat="1" ht="17">
      <c r="A37" s="95"/>
      <c r="B37" s="96"/>
      <c r="C37" s="97" t="str">
        <f t="shared" si="0"/>
        <v/>
      </c>
      <c r="D37" s="98"/>
      <c r="E37" s="99"/>
      <c r="F37" s="97" t="str">
        <f t="shared" si="1"/>
        <v/>
      </c>
      <c r="G37" s="98"/>
      <c r="H37" s="99"/>
      <c r="I37" s="97" t="str">
        <f t="shared" si="2"/>
        <v/>
      </c>
    </row>
    <row r="38" spans="1:9" s="97" customFormat="1" ht="17">
      <c r="A38" s="95"/>
      <c r="B38" s="96"/>
      <c r="C38" s="97" t="str">
        <f t="shared" si="0"/>
        <v/>
      </c>
      <c r="D38" s="98"/>
      <c r="E38" s="99"/>
      <c r="F38" s="97" t="str">
        <f t="shared" si="1"/>
        <v/>
      </c>
      <c r="G38" s="98"/>
      <c r="H38" s="99"/>
      <c r="I38" s="97" t="str">
        <f t="shared" si="2"/>
        <v/>
      </c>
    </row>
    <row r="39" spans="1:9" s="97" customFormat="1" ht="17">
      <c r="A39" s="95"/>
      <c r="B39" s="96"/>
      <c r="C39" s="97" t="str">
        <f t="shared" si="0"/>
        <v/>
      </c>
      <c r="D39" s="98"/>
      <c r="E39" s="99"/>
      <c r="F39" s="97" t="str">
        <f t="shared" si="1"/>
        <v/>
      </c>
      <c r="G39" s="98"/>
      <c r="H39" s="99"/>
      <c r="I39" s="97" t="str">
        <f t="shared" si="2"/>
        <v/>
      </c>
    </row>
    <row r="40" spans="1:9" s="97" customFormat="1" ht="17">
      <c r="A40" s="95"/>
      <c r="B40" s="96"/>
      <c r="C40" s="97" t="str">
        <f t="shared" si="0"/>
        <v/>
      </c>
      <c r="D40" s="98"/>
      <c r="E40" s="99"/>
      <c r="F40" s="97" t="str">
        <f t="shared" si="1"/>
        <v/>
      </c>
      <c r="G40" s="98"/>
      <c r="H40" s="99"/>
      <c r="I40" s="97" t="str">
        <f t="shared" si="2"/>
        <v/>
      </c>
    </row>
    <row r="41" spans="1:9" s="97" customFormat="1" ht="17">
      <c r="A41" s="95"/>
      <c r="B41" s="96"/>
      <c r="C41" s="97" t="str">
        <f t="shared" si="0"/>
        <v/>
      </c>
      <c r="D41" s="98"/>
      <c r="E41" s="99"/>
      <c r="F41" s="97" t="str">
        <f t="shared" si="1"/>
        <v/>
      </c>
      <c r="G41" s="98"/>
      <c r="H41" s="99"/>
      <c r="I41" s="97" t="str">
        <f t="shared" si="2"/>
        <v/>
      </c>
    </row>
    <row r="42" spans="1:9" s="97" customFormat="1" ht="17">
      <c r="A42" s="95"/>
      <c r="B42" s="96"/>
      <c r="C42" s="97" t="str">
        <f t="shared" si="0"/>
        <v/>
      </c>
      <c r="D42" s="98"/>
      <c r="E42" s="99"/>
      <c r="F42" s="97" t="str">
        <f t="shared" si="1"/>
        <v/>
      </c>
      <c r="G42" s="98"/>
      <c r="H42" s="99"/>
      <c r="I42" s="97" t="str">
        <f t="shared" si="2"/>
        <v/>
      </c>
    </row>
    <row r="43" spans="1:9" s="97" customFormat="1" ht="17">
      <c r="A43" s="95"/>
      <c r="B43" s="96"/>
      <c r="C43" s="97" t="str">
        <f t="shared" si="0"/>
        <v/>
      </c>
      <c r="D43" s="98"/>
      <c r="E43" s="99"/>
      <c r="F43" s="97" t="str">
        <f t="shared" si="1"/>
        <v/>
      </c>
      <c r="G43" s="98"/>
      <c r="H43" s="99"/>
      <c r="I43" s="97" t="str">
        <f t="shared" si="2"/>
        <v/>
      </c>
    </row>
    <row r="44" spans="1:9" s="97" customFormat="1" ht="17">
      <c r="A44" s="95"/>
      <c r="B44" s="96"/>
      <c r="C44" s="97" t="str">
        <f t="shared" si="0"/>
        <v/>
      </c>
      <c r="D44" s="98"/>
      <c r="E44" s="99"/>
      <c r="F44" s="97" t="str">
        <f t="shared" si="1"/>
        <v/>
      </c>
      <c r="G44" s="98"/>
      <c r="H44" s="99"/>
      <c r="I44" s="97" t="str">
        <f t="shared" si="2"/>
        <v/>
      </c>
    </row>
    <row r="45" spans="1:9" s="97" customFormat="1" ht="17">
      <c r="A45" s="95"/>
      <c r="B45" s="96"/>
      <c r="C45" s="97" t="str">
        <f t="shared" si="0"/>
        <v/>
      </c>
      <c r="D45" s="98"/>
      <c r="E45" s="99"/>
      <c r="F45" s="97" t="str">
        <f t="shared" si="1"/>
        <v/>
      </c>
      <c r="G45" s="98"/>
      <c r="H45" s="99"/>
      <c r="I45" s="97" t="str">
        <f t="shared" si="2"/>
        <v/>
      </c>
    </row>
    <row r="46" spans="1:9" s="97" customFormat="1" ht="17">
      <c r="A46" s="95"/>
      <c r="B46" s="96"/>
      <c r="C46" s="97" t="str">
        <f t="shared" si="0"/>
        <v/>
      </c>
      <c r="D46" s="98"/>
      <c r="E46" s="99"/>
      <c r="F46" s="97" t="str">
        <f t="shared" si="1"/>
        <v/>
      </c>
      <c r="G46" s="98"/>
      <c r="H46" s="99"/>
      <c r="I46" s="97" t="str">
        <f t="shared" si="2"/>
        <v/>
      </c>
    </row>
    <row r="47" spans="1:9" s="97" customFormat="1" ht="17">
      <c r="A47" s="95"/>
      <c r="B47" s="96"/>
      <c r="C47" s="97" t="str">
        <f t="shared" si="0"/>
        <v/>
      </c>
      <c r="D47" s="98"/>
      <c r="E47" s="99"/>
      <c r="F47" s="97" t="str">
        <f t="shared" si="1"/>
        <v/>
      </c>
      <c r="G47" s="98"/>
      <c r="H47" s="99"/>
      <c r="I47" s="97" t="str">
        <f t="shared" si="2"/>
        <v/>
      </c>
    </row>
    <row r="48" spans="1:9" s="97" customFormat="1" ht="17">
      <c r="A48" s="95"/>
      <c r="B48" s="96"/>
      <c r="C48" s="97" t="str">
        <f t="shared" si="0"/>
        <v/>
      </c>
      <c r="D48" s="98"/>
      <c r="E48" s="99"/>
      <c r="F48" s="97" t="str">
        <f t="shared" si="1"/>
        <v/>
      </c>
      <c r="G48" s="98"/>
      <c r="H48" s="99"/>
      <c r="I48" s="97" t="str">
        <f t="shared" si="2"/>
        <v/>
      </c>
    </row>
    <row r="49" spans="1:9" s="97" customFormat="1" ht="17">
      <c r="A49" s="95"/>
      <c r="B49" s="96"/>
      <c r="C49" s="97" t="str">
        <f t="shared" si="0"/>
        <v/>
      </c>
      <c r="D49" s="98"/>
      <c r="E49" s="99"/>
      <c r="F49" s="97" t="str">
        <f t="shared" si="1"/>
        <v/>
      </c>
      <c r="G49" s="98"/>
      <c r="H49" s="99"/>
      <c r="I49" s="97" t="str">
        <f t="shared" si="2"/>
        <v/>
      </c>
    </row>
    <row r="50" spans="1:9" s="97" customFormat="1" ht="17">
      <c r="A50" s="95"/>
      <c r="B50" s="96"/>
      <c r="C50" s="97" t="str">
        <f t="shared" si="0"/>
        <v/>
      </c>
      <c r="D50" s="98"/>
      <c r="E50" s="99"/>
      <c r="F50" s="97" t="str">
        <f t="shared" si="1"/>
        <v/>
      </c>
      <c r="G50" s="98"/>
      <c r="H50" s="99"/>
      <c r="I50" s="97" t="str">
        <f t="shared" si="2"/>
        <v/>
      </c>
    </row>
    <row r="51" spans="1:9" s="97" customFormat="1" ht="17">
      <c r="A51" s="95"/>
      <c r="B51" s="96"/>
      <c r="C51" s="97" t="str">
        <f t="shared" si="0"/>
        <v/>
      </c>
      <c r="D51" s="98"/>
      <c r="E51" s="99"/>
      <c r="F51" s="97" t="str">
        <f t="shared" si="1"/>
        <v/>
      </c>
      <c r="G51" s="98"/>
      <c r="H51" s="99"/>
      <c r="I51" s="97" t="str">
        <f t="shared" si="2"/>
        <v/>
      </c>
    </row>
    <row r="52" spans="1:9" s="97" customFormat="1" ht="17">
      <c r="A52" s="95"/>
      <c r="B52" s="96"/>
      <c r="C52" s="97" t="str">
        <f t="shared" si="0"/>
        <v/>
      </c>
      <c r="D52" s="98"/>
      <c r="E52" s="99"/>
      <c r="F52" s="97" t="str">
        <f t="shared" si="1"/>
        <v/>
      </c>
      <c r="G52" s="98"/>
      <c r="H52" s="99"/>
      <c r="I52" s="97" t="str">
        <f t="shared" si="2"/>
        <v/>
      </c>
    </row>
    <row r="53" spans="1:9" s="97" customFormat="1" ht="17">
      <c r="A53" s="95"/>
      <c r="B53" s="96"/>
      <c r="C53" s="97" t="str">
        <f t="shared" si="0"/>
        <v/>
      </c>
      <c r="D53" s="98"/>
      <c r="E53" s="99"/>
      <c r="F53" s="97" t="str">
        <f t="shared" si="1"/>
        <v/>
      </c>
      <c r="G53" s="98"/>
      <c r="H53" s="99"/>
      <c r="I53" s="97" t="str">
        <f t="shared" si="2"/>
        <v/>
      </c>
    </row>
    <row r="54" spans="1:9" s="97" customFormat="1" ht="17">
      <c r="A54" s="95"/>
      <c r="B54" s="96"/>
      <c r="C54" s="97" t="str">
        <f t="shared" si="0"/>
        <v/>
      </c>
      <c r="D54" s="98"/>
      <c r="E54" s="99"/>
      <c r="F54" s="97" t="str">
        <f t="shared" si="1"/>
        <v/>
      </c>
      <c r="G54" s="98"/>
      <c r="H54" s="99"/>
      <c r="I54" s="97" t="str">
        <f t="shared" si="2"/>
        <v/>
      </c>
    </row>
    <row r="55" spans="1:9" s="97" customFormat="1" ht="17">
      <c r="A55" s="95"/>
      <c r="B55" s="96"/>
      <c r="C55" s="97" t="str">
        <f t="shared" si="0"/>
        <v/>
      </c>
      <c r="D55" s="98"/>
      <c r="E55" s="99"/>
      <c r="F55" s="97" t="str">
        <f t="shared" si="1"/>
        <v/>
      </c>
      <c r="G55" s="98"/>
      <c r="H55" s="99"/>
      <c r="I55" s="97" t="str">
        <f t="shared" si="2"/>
        <v/>
      </c>
    </row>
    <row r="56" spans="1:9" s="97" customFormat="1" ht="17">
      <c r="A56" s="95"/>
      <c r="B56" s="96"/>
      <c r="C56" s="97" t="str">
        <f t="shared" si="0"/>
        <v/>
      </c>
      <c r="D56" s="98"/>
      <c r="E56" s="99"/>
      <c r="F56" s="97" t="str">
        <f t="shared" si="1"/>
        <v/>
      </c>
      <c r="G56" s="98"/>
      <c r="H56" s="99"/>
      <c r="I56" s="97" t="str">
        <f t="shared" si="2"/>
        <v/>
      </c>
    </row>
    <row r="57" spans="1:9" s="97" customFormat="1" ht="17">
      <c r="A57" s="95"/>
      <c r="B57" s="96"/>
      <c r="C57" s="97" t="str">
        <f t="shared" si="0"/>
        <v/>
      </c>
      <c r="D57" s="98"/>
      <c r="E57" s="99"/>
      <c r="F57" s="97" t="str">
        <f t="shared" si="1"/>
        <v/>
      </c>
      <c r="G57" s="98"/>
      <c r="H57" s="99"/>
      <c r="I57" s="97" t="str">
        <f t="shared" si="2"/>
        <v/>
      </c>
    </row>
    <row r="58" spans="1:9" s="97" customFormat="1" ht="17">
      <c r="A58" s="95"/>
      <c r="B58" s="96"/>
      <c r="C58" s="97" t="str">
        <f t="shared" si="0"/>
        <v/>
      </c>
      <c r="D58" s="98"/>
      <c r="E58" s="99"/>
      <c r="F58" s="97" t="str">
        <f t="shared" si="1"/>
        <v/>
      </c>
      <c r="G58" s="98"/>
      <c r="H58" s="99"/>
      <c r="I58" s="97" t="str">
        <f t="shared" si="2"/>
        <v/>
      </c>
    </row>
    <row r="59" spans="1:9" s="97" customFormat="1" ht="17">
      <c r="A59" s="95"/>
      <c r="B59" s="96"/>
      <c r="C59" s="97" t="str">
        <f t="shared" si="0"/>
        <v/>
      </c>
      <c r="D59" s="98"/>
      <c r="E59" s="99"/>
      <c r="F59" s="97" t="str">
        <f t="shared" si="1"/>
        <v/>
      </c>
      <c r="G59" s="98"/>
      <c r="H59" s="99"/>
      <c r="I59" s="97" t="str">
        <f t="shared" si="2"/>
        <v/>
      </c>
    </row>
    <row r="60" spans="1:9" s="97" customFormat="1" ht="17">
      <c r="A60" s="95"/>
      <c r="B60" s="96"/>
      <c r="C60" s="97" t="str">
        <f t="shared" si="0"/>
        <v/>
      </c>
      <c r="D60" s="98"/>
      <c r="E60" s="99"/>
      <c r="F60" s="97" t="str">
        <f t="shared" si="1"/>
        <v/>
      </c>
      <c r="G60" s="98"/>
      <c r="H60" s="99"/>
      <c r="I60" s="97" t="str">
        <f t="shared" si="2"/>
        <v/>
      </c>
    </row>
    <row r="61" spans="1:9" s="97" customFormat="1" ht="17">
      <c r="A61" s="95"/>
      <c r="B61" s="96"/>
      <c r="C61" s="97" t="str">
        <f t="shared" si="0"/>
        <v/>
      </c>
      <c r="D61" s="98"/>
      <c r="E61" s="99"/>
      <c r="F61" s="97" t="str">
        <f t="shared" si="1"/>
        <v/>
      </c>
      <c r="G61" s="98"/>
      <c r="H61" s="99"/>
      <c r="I61" s="97" t="str">
        <f t="shared" si="2"/>
        <v/>
      </c>
    </row>
    <row r="62" spans="1:9" s="97" customFormat="1" ht="17">
      <c r="A62" s="95"/>
      <c r="B62" s="96"/>
      <c r="C62" s="97" t="str">
        <f t="shared" si="0"/>
        <v/>
      </c>
      <c r="D62" s="98"/>
      <c r="E62" s="99"/>
      <c r="F62" s="97" t="str">
        <f t="shared" si="1"/>
        <v/>
      </c>
      <c r="G62" s="98"/>
      <c r="H62" s="99"/>
      <c r="I62" s="97" t="str">
        <f t="shared" si="2"/>
        <v/>
      </c>
    </row>
    <row r="63" spans="1:9" s="97" customFormat="1" ht="17">
      <c r="A63" s="95"/>
      <c r="B63" s="96"/>
      <c r="C63" s="97" t="str">
        <f t="shared" si="0"/>
        <v/>
      </c>
      <c r="D63" s="98"/>
      <c r="E63" s="99"/>
      <c r="F63" s="97" t="str">
        <f t="shared" si="1"/>
        <v/>
      </c>
      <c r="G63" s="98"/>
      <c r="H63" s="99"/>
      <c r="I63" s="97" t="str">
        <f t="shared" si="2"/>
        <v/>
      </c>
    </row>
    <row r="64" spans="1:9" s="97" customFormat="1" ht="17">
      <c r="A64" s="95"/>
      <c r="B64" s="96"/>
      <c r="C64" s="97" t="str">
        <f t="shared" si="0"/>
        <v/>
      </c>
      <c r="D64" s="98"/>
      <c r="E64" s="99"/>
      <c r="F64" s="97" t="str">
        <f t="shared" si="1"/>
        <v/>
      </c>
      <c r="G64" s="98"/>
      <c r="H64" s="99"/>
      <c r="I64" s="97" t="str">
        <f t="shared" si="2"/>
        <v/>
      </c>
    </row>
    <row r="65" spans="1:9" s="97" customFormat="1" ht="17">
      <c r="A65" s="95"/>
      <c r="B65" s="96"/>
      <c r="C65" s="97" t="str">
        <f t="shared" si="0"/>
        <v/>
      </c>
      <c r="D65" s="98"/>
      <c r="E65" s="99"/>
      <c r="F65" s="97" t="str">
        <f t="shared" si="1"/>
        <v/>
      </c>
      <c r="G65" s="98"/>
      <c r="H65" s="99"/>
      <c r="I65" s="97" t="str">
        <f t="shared" si="2"/>
        <v/>
      </c>
    </row>
    <row r="66" spans="1:9" s="97" customFormat="1" ht="17">
      <c r="A66" s="95"/>
      <c r="B66" s="96"/>
      <c r="C66" s="97" t="str">
        <f t="shared" si="0"/>
        <v/>
      </c>
      <c r="D66" s="98"/>
      <c r="E66" s="99"/>
      <c r="F66" s="97" t="str">
        <f t="shared" si="1"/>
        <v/>
      </c>
      <c r="G66" s="98"/>
      <c r="H66" s="99"/>
      <c r="I66" s="97" t="str">
        <f t="shared" si="2"/>
        <v/>
      </c>
    </row>
    <row r="67" spans="1:9" s="97" customFormat="1" ht="17">
      <c r="A67" s="95"/>
      <c r="B67" s="96"/>
      <c r="C67" s="97" t="str">
        <f t="shared" si="0"/>
        <v/>
      </c>
      <c r="D67" s="98"/>
      <c r="E67" s="99"/>
      <c r="F67" s="97" t="str">
        <f t="shared" si="1"/>
        <v/>
      </c>
      <c r="G67" s="98"/>
      <c r="H67" s="99"/>
      <c r="I67" s="97" t="str">
        <f t="shared" si="2"/>
        <v/>
      </c>
    </row>
    <row r="68" spans="1:9" s="97" customFormat="1" ht="17">
      <c r="A68" s="95"/>
      <c r="B68" s="96"/>
      <c r="C68" s="97" t="str">
        <f t="shared" si="0"/>
        <v/>
      </c>
      <c r="D68" s="98"/>
      <c r="E68" s="99"/>
      <c r="F68" s="97" t="str">
        <f t="shared" si="1"/>
        <v/>
      </c>
      <c r="G68" s="98"/>
      <c r="H68" s="99"/>
      <c r="I68" s="97" t="str">
        <f t="shared" si="2"/>
        <v/>
      </c>
    </row>
    <row r="69" spans="1:9" s="97" customFormat="1" ht="17">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
      <c r="A70" s="95"/>
      <c r="B70" s="96"/>
      <c r="C70" s="97" t="str">
        <f t="shared" si="3"/>
        <v/>
      </c>
      <c r="D70" s="98"/>
      <c r="E70" s="99"/>
      <c r="F70" s="97" t="str">
        <f t="shared" si="4"/>
        <v/>
      </c>
      <c r="G70" s="98"/>
      <c r="H70" s="99"/>
      <c r="I70" s="97" t="str">
        <f t="shared" si="5"/>
        <v/>
      </c>
    </row>
    <row r="71" spans="1:9" s="97" customFormat="1" ht="17">
      <c r="A71" s="95"/>
      <c r="B71" s="96"/>
      <c r="C71" s="97" t="str">
        <f t="shared" si="3"/>
        <v/>
      </c>
      <c r="D71" s="98"/>
      <c r="E71" s="99"/>
      <c r="F71" s="97" t="str">
        <f t="shared" si="4"/>
        <v/>
      </c>
      <c r="G71" s="98"/>
      <c r="H71" s="99"/>
      <c r="I71" s="97" t="str">
        <f t="shared" si="5"/>
        <v/>
      </c>
    </row>
    <row r="72" spans="1:9" s="97" customFormat="1" ht="17">
      <c r="A72" s="95"/>
      <c r="B72" s="96"/>
      <c r="C72" s="97" t="str">
        <f t="shared" si="3"/>
        <v/>
      </c>
      <c r="D72" s="98"/>
      <c r="E72" s="99"/>
      <c r="F72" s="97" t="str">
        <f t="shared" si="4"/>
        <v/>
      </c>
      <c r="G72" s="98"/>
      <c r="H72" s="99"/>
      <c r="I72" s="97" t="str">
        <f t="shared" si="5"/>
        <v/>
      </c>
    </row>
    <row r="73" spans="1:9" s="97" customFormat="1" ht="17">
      <c r="A73" s="95"/>
      <c r="B73" s="96"/>
      <c r="C73" s="97" t="str">
        <f t="shared" si="3"/>
        <v/>
      </c>
      <c r="D73" s="98"/>
      <c r="E73" s="99"/>
      <c r="F73" s="97" t="str">
        <f t="shared" si="4"/>
        <v/>
      </c>
      <c r="G73" s="98"/>
      <c r="H73" s="99"/>
      <c r="I73" s="97" t="str">
        <f t="shared" si="5"/>
        <v/>
      </c>
    </row>
    <row r="74" spans="1:9" s="97" customFormat="1" ht="17">
      <c r="A74" s="95"/>
      <c r="B74" s="96"/>
      <c r="C74" s="97" t="str">
        <f t="shared" si="3"/>
        <v/>
      </c>
      <c r="D74" s="98"/>
      <c r="E74" s="99"/>
      <c r="F74" s="97" t="str">
        <f t="shared" si="4"/>
        <v/>
      </c>
      <c r="G74" s="98"/>
      <c r="H74" s="99"/>
      <c r="I74" s="97" t="str">
        <f t="shared" si="5"/>
        <v/>
      </c>
    </row>
    <row r="75" spans="1:9" s="97" customFormat="1" ht="17">
      <c r="A75" s="95"/>
      <c r="B75" s="96"/>
      <c r="C75" s="97" t="str">
        <f t="shared" si="3"/>
        <v/>
      </c>
      <c r="D75" s="98"/>
      <c r="E75" s="99"/>
      <c r="F75" s="97" t="str">
        <f t="shared" si="4"/>
        <v/>
      </c>
      <c r="G75" s="98"/>
      <c r="H75" s="99"/>
      <c r="I75" s="97" t="str">
        <f t="shared" si="5"/>
        <v/>
      </c>
    </row>
    <row r="76" spans="1:9" s="97" customFormat="1" ht="17">
      <c r="A76" s="95"/>
      <c r="B76" s="96"/>
      <c r="C76" s="97" t="str">
        <f t="shared" si="3"/>
        <v/>
      </c>
      <c r="D76" s="98"/>
      <c r="E76" s="99"/>
      <c r="F76" s="97" t="str">
        <f t="shared" si="4"/>
        <v/>
      </c>
      <c r="G76" s="98"/>
      <c r="H76" s="99"/>
      <c r="I76" s="97" t="str">
        <f t="shared" si="5"/>
        <v/>
      </c>
    </row>
    <row r="77" spans="1:9" s="97" customFormat="1" ht="17">
      <c r="A77" s="95"/>
      <c r="B77" s="96"/>
      <c r="C77" s="97" t="str">
        <f t="shared" si="3"/>
        <v/>
      </c>
      <c r="D77" s="98"/>
      <c r="E77" s="99"/>
      <c r="F77" s="97" t="str">
        <f t="shared" si="4"/>
        <v/>
      </c>
      <c r="G77" s="98"/>
      <c r="H77" s="99"/>
      <c r="I77" s="97" t="str">
        <f t="shared" si="5"/>
        <v/>
      </c>
    </row>
    <row r="78" spans="1:9" s="97" customFormat="1" ht="17">
      <c r="A78" s="95"/>
      <c r="B78" s="96"/>
      <c r="C78" s="97" t="str">
        <f t="shared" si="3"/>
        <v/>
      </c>
      <c r="D78" s="98"/>
      <c r="E78" s="99"/>
      <c r="F78" s="97" t="str">
        <f t="shared" si="4"/>
        <v/>
      </c>
      <c r="G78" s="98"/>
      <c r="H78" s="99"/>
      <c r="I78" s="97" t="str">
        <f t="shared" si="5"/>
        <v/>
      </c>
    </row>
    <row r="79" spans="1:9" s="97" customFormat="1" ht="17">
      <c r="A79" s="95"/>
      <c r="B79" s="96"/>
      <c r="C79" s="97" t="str">
        <f t="shared" si="3"/>
        <v/>
      </c>
      <c r="D79" s="98"/>
      <c r="E79" s="99"/>
      <c r="F79" s="97" t="str">
        <f t="shared" si="4"/>
        <v/>
      </c>
      <c r="G79" s="98"/>
      <c r="H79" s="99"/>
      <c r="I79" s="97" t="str">
        <f t="shared" si="5"/>
        <v/>
      </c>
    </row>
    <row r="80" spans="1:9" s="97" customFormat="1" ht="17">
      <c r="A80" s="95"/>
      <c r="B80" s="96"/>
      <c r="C80" s="97" t="str">
        <f t="shared" si="3"/>
        <v/>
      </c>
      <c r="D80" s="98"/>
      <c r="E80" s="99"/>
      <c r="F80" s="97" t="str">
        <f t="shared" si="4"/>
        <v/>
      </c>
      <c r="G80" s="98"/>
      <c r="H80" s="99"/>
      <c r="I80" s="97" t="str">
        <f t="shared" si="5"/>
        <v/>
      </c>
    </row>
    <row r="81" spans="1:9" s="97" customFormat="1" ht="17">
      <c r="A81" s="95"/>
      <c r="B81" s="96"/>
      <c r="C81" s="97" t="str">
        <f t="shared" si="3"/>
        <v/>
      </c>
      <c r="D81" s="98"/>
      <c r="E81" s="99"/>
      <c r="F81" s="97" t="str">
        <f t="shared" si="4"/>
        <v/>
      </c>
      <c r="G81" s="98"/>
      <c r="H81" s="99"/>
      <c r="I81" s="97" t="str">
        <f t="shared" si="5"/>
        <v/>
      </c>
    </row>
    <row r="82" spans="1:9" s="97" customFormat="1" ht="17">
      <c r="A82" s="95"/>
      <c r="B82" s="96"/>
      <c r="C82" s="97" t="str">
        <f t="shared" si="3"/>
        <v/>
      </c>
      <c r="D82" s="98"/>
      <c r="E82" s="99"/>
      <c r="F82" s="97" t="str">
        <f t="shared" si="4"/>
        <v/>
      </c>
      <c r="G82" s="98"/>
      <c r="H82" s="99"/>
      <c r="I82" s="97" t="str">
        <f t="shared" si="5"/>
        <v/>
      </c>
    </row>
    <row r="83" spans="1:9" s="97" customFormat="1" ht="17">
      <c r="A83" s="95"/>
      <c r="B83" s="96"/>
      <c r="C83" s="97" t="str">
        <f t="shared" si="3"/>
        <v/>
      </c>
      <c r="D83" s="98"/>
      <c r="E83" s="99"/>
      <c r="F83" s="97" t="str">
        <f t="shared" si="4"/>
        <v/>
      </c>
      <c r="G83" s="98"/>
      <c r="H83" s="99"/>
      <c r="I83" s="97" t="str">
        <f t="shared" si="5"/>
        <v/>
      </c>
    </row>
    <row r="84" spans="1:9" s="97" customFormat="1" ht="17">
      <c r="A84" s="95"/>
      <c r="B84" s="96"/>
      <c r="C84" s="97" t="str">
        <f t="shared" si="3"/>
        <v/>
      </c>
      <c r="D84" s="98"/>
      <c r="E84" s="99"/>
      <c r="F84" s="97" t="str">
        <f t="shared" si="4"/>
        <v/>
      </c>
      <c r="G84" s="98"/>
      <c r="H84" s="99"/>
      <c r="I84" s="97" t="str">
        <f t="shared" si="5"/>
        <v/>
      </c>
    </row>
    <row r="85" spans="1:9" s="97" customFormat="1" ht="17">
      <c r="A85" s="95"/>
      <c r="B85" s="96"/>
      <c r="C85" s="97" t="str">
        <f t="shared" si="3"/>
        <v/>
      </c>
      <c r="D85" s="98"/>
      <c r="E85" s="99"/>
      <c r="F85" s="97" t="str">
        <f t="shared" si="4"/>
        <v/>
      </c>
      <c r="G85" s="98"/>
      <c r="H85" s="99"/>
      <c r="I85" s="97" t="str">
        <f t="shared" si="5"/>
        <v/>
      </c>
    </row>
    <row r="86" spans="1:9" s="97" customFormat="1" ht="17">
      <c r="A86" s="95"/>
      <c r="B86" s="96"/>
      <c r="C86" s="97" t="str">
        <f t="shared" si="3"/>
        <v/>
      </c>
      <c r="D86" s="98"/>
      <c r="E86" s="99"/>
      <c r="F86" s="97" t="str">
        <f t="shared" si="4"/>
        <v/>
      </c>
      <c r="G86" s="98"/>
      <c r="H86" s="99"/>
      <c r="I86" s="97" t="str">
        <f t="shared" si="5"/>
        <v/>
      </c>
    </row>
    <row r="87" spans="1:9" s="97" customFormat="1" ht="17">
      <c r="A87" s="95"/>
      <c r="B87" s="96"/>
      <c r="C87" s="97" t="str">
        <f t="shared" si="3"/>
        <v/>
      </c>
      <c r="D87" s="98"/>
      <c r="E87" s="99"/>
      <c r="F87" s="97" t="str">
        <f t="shared" si="4"/>
        <v/>
      </c>
      <c r="G87" s="98"/>
      <c r="H87" s="99"/>
      <c r="I87" s="97" t="str">
        <f t="shared" si="5"/>
        <v/>
      </c>
    </row>
    <row r="88" spans="1:9" s="97" customFormat="1" ht="17">
      <c r="A88" s="95"/>
      <c r="B88" s="96"/>
      <c r="C88" s="97" t="str">
        <f t="shared" si="3"/>
        <v/>
      </c>
      <c r="D88" s="98"/>
      <c r="E88" s="99"/>
      <c r="F88" s="97" t="str">
        <f t="shared" si="4"/>
        <v/>
      </c>
      <c r="G88" s="98"/>
      <c r="H88" s="99"/>
      <c r="I88" s="97" t="str">
        <f t="shared" si="5"/>
        <v/>
      </c>
    </row>
    <row r="89" spans="1:9" s="97" customFormat="1" ht="17">
      <c r="A89" s="95"/>
      <c r="B89" s="96"/>
      <c r="C89" s="97" t="str">
        <f t="shared" si="3"/>
        <v/>
      </c>
      <c r="D89" s="98"/>
      <c r="E89" s="99"/>
      <c r="F89" s="97" t="str">
        <f t="shared" si="4"/>
        <v/>
      </c>
      <c r="G89" s="98"/>
      <c r="H89" s="99"/>
      <c r="I89" s="97" t="str">
        <f t="shared" si="5"/>
        <v/>
      </c>
    </row>
    <row r="90" spans="1:9" s="97" customFormat="1" ht="17">
      <c r="A90" s="95"/>
      <c r="B90" s="96"/>
      <c r="C90" s="97" t="str">
        <f t="shared" si="3"/>
        <v/>
      </c>
      <c r="D90" s="98"/>
      <c r="E90" s="99"/>
      <c r="F90" s="97" t="str">
        <f t="shared" si="4"/>
        <v/>
      </c>
      <c r="G90" s="98"/>
      <c r="H90" s="99"/>
      <c r="I90" s="97" t="str">
        <f t="shared" si="5"/>
        <v/>
      </c>
    </row>
    <row r="91" spans="1:9" s="97" customFormat="1" ht="17">
      <c r="A91" s="95"/>
      <c r="B91" s="96"/>
      <c r="C91" s="97" t="str">
        <f t="shared" si="3"/>
        <v/>
      </c>
      <c r="D91" s="98"/>
      <c r="E91" s="99"/>
      <c r="F91" s="97" t="str">
        <f t="shared" si="4"/>
        <v/>
      </c>
      <c r="G91" s="98"/>
      <c r="H91" s="99"/>
      <c r="I91" s="97" t="str">
        <f t="shared" si="5"/>
        <v/>
      </c>
    </row>
    <row r="92" spans="1:9" s="97" customFormat="1" ht="17">
      <c r="A92" s="95"/>
      <c r="B92" s="96"/>
      <c r="C92" s="97" t="str">
        <f t="shared" si="3"/>
        <v/>
      </c>
      <c r="D92" s="98"/>
      <c r="E92" s="99"/>
      <c r="F92" s="97" t="str">
        <f t="shared" si="4"/>
        <v/>
      </c>
      <c r="G92" s="98"/>
      <c r="H92" s="99"/>
      <c r="I92" s="97" t="str">
        <f t="shared" si="5"/>
        <v/>
      </c>
    </row>
    <row r="93" spans="1:9" s="97" customFormat="1" ht="17">
      <c r="A93" s="95"/>
      <c r="B93" s="96"/>
      <c r="C93" s="97" t="str">
        <f t="shared" si="3"/>
        <v/>
      </c>
      <c r="D93" s="98"/>
      <c r="E93" s="99"/>
      <c r="F93" s="97" t="str">
        <f t="shared" si="4"/>
        <v/>
      </c>
      <c r="G93" s="98"/>
      <c r="H93" s="99"/>
      <c r="I93" s="97" t="str">
        <f t="shared" si="5"/>
        <v/>
      </c>
    </row>
    <row r="94" spans="1:9" s="97" customFormat="1" ht="17">
      <c r="A94" s="95"/>
      <c r="B94" s="96"/>
      <c r="C94" s="97" t="str">
        <f t="shared" si="3"/>
        <v/>
      </c>
      <c r="D94" s="98"/>
      <c r="E94" s="99"/>
      <c r="F94" s="97" t="str">
        <f t="shared" si="4"/>
        <v/>
      </c>
      <c r="G94" s="98"/>
      <c r="H94" s="99"/>
      <c r="I94" s="97" t="str">
        <f t="shared" si="5"/>
        <v/>
      </c>
    </row>
    <row r="95" spans="1:9" s="97" customFormat="1" ht="17">
      <c r="A95" s="95"/>
      <c r="B95" s="96"/>
      <c r="C95" s="97" t="str">
        <f t="shared" si="3"/>
        <v/>
      </c>
      <c r="D95" s="98"/>
      <c r="E95" s="99"/>
      <c r="F95" s="97" t="str">
        <f t="shared" si="4"/>
        <v/>
      </c>
      <c r="G95" s="98"/>
      <c r="H95" s="99"/>
      <c r="I95" s="97" t="str">
        <f t="shared" si="5"/>
        <v/>
      </c>
    </row>
    <row r="96" spans="1:9" s="97" customFormat="1" ht="17">
      <c r="A96" s="95"/>
      <c r="B96" s="96"/>
      <c r="C96" s="97" t="str">
        <f t="shared" si="3"/>
        <v/>
      </c>
      <c r="D96" s="98"/>
      <c r="E96" s="99"/>
      <c r="F96" s="97" t="str">
        <f t="shared" si="4"/>
        <v/>
      </c>
      <c r="G96" s="98"/>
      <c r="H96" s="99"/>
      <c r="I96" s="97" t="str">
        <f t="shared" si="5"/>
        <v/>
      </c>
    </row>
    <row r="97" spans="1:9" s="97" customFormat="1" ht="17">
      <c r="A97" s="95"/>
      <c r="B97" s="96"/>
      <c r="C97" s="97" t="str">
        <f t="shared" si="3"/>
        <v/>
      </c>
      <c r="D97" s="98"/>
      <c r="E97" s="99"/>
      <c r="F97" s="97" t="str">
        <f t="shared" si="4"/>
        <v/>
      </c>
      <c r="G97" s="98"/>
      <c r="H97" s="99"/>
      <c r="I97" s="97" t="str">
        <f t="shared" si="5"/>
        <v/>
      </c>
    </row>
    <row r="98" spans="1:9" s="97" customFormat="1" ht="17">
      <c r="A98" s="95"/>
      <c r="B98" s="96"/>
      <c r="C98" s="97" t="str">
        <f t="shared" si="3"/>
        <v/>
      </c>
      <c r="D98" s="98"/>
      <c r="E98" s="99"/>
      <c r="F98" s="97" t="str">
        <f t="shared" si="4"/>
        <v/>
      </c>
      <c r="G98" s="98"/>
      <c r="H98" s="99"/>
      <c r="I98" s="97" t="str">
        <f t="shared" si="5"/>
        <v/>
      </c>
    </row>
    <row r="99" spans="1:9" s="97" customFormat="1" ht="17">
      <c r="A99" s="95"/>
      <c r="B99" s="96"/>
      <c r="C99" s="97" t="str">
        <f t="shared" si="3"/>
        <v/>
      </c>
      <c r="D99" s="98"/>
      <c r="E99" s="99"/>
      <c r="F99" s="97" t="str">
        <f t="shared" si="4"/>
        <v/>
      </c>
      <c r="G99" s="98"/>
      <c r="H99" s="99"/>
      <c r="I99" s="97" t="str">
        <f t="shared" si="5"/>
        <v/>
      </c>
    </row>
    <row r="100" spans="1:9" s="97" customFormat="1" ht="17">
      <c r="A100" s="95"/>
      <c r="B100" s="96"/>
      <c r="C100" s="97" t="str">
        <f t="shared" si="3"/>
        <v/>
      </c>
      <c r="D100" s="98"/>
      <c r="E100" s="99"/>
      <c r="F100" s="97" t="str">
        <f t="shared" si="4"/>
        <v/>
      </c>
      <c r="G100" s="98"/>
      <c r="H100" s="99"/>
      <c r="I100" s="97" t="str">
        <f t="shared" si="5"/>
        <v/>
      </c>
    </row>
    <row r="101" spans="1:9" s="97" customFormat="1" ht="17">
      <c r="A101" s="95"/>
      <c r="B101" s="96"/>
      <c r="C101" s="97" t="str">
        <f t="shared" si="3"/>
        <v/>
      </c>
      <c r="D101" s="98"/>
      <c r="E101" s="99"/>
      <c r="F101" s="97" t="str">
        <f t="shared" si="4"/>
        <v/>
      </c>
      <c r="G101" s="98"/>
      <c r="H101" s="99"/>
      <c r="I101" s="97" t="str">
        <f t="shared" si="5"/>
        <v/>
      </c>
    </row>
    <row r="102" spans="1:9" s="97" customFormat="1" ht="17">
      <c r="A102" s="95"/>
      <c r="B102" s="96"/>
      <c r="C102" s="97" t="str">
        <f t="shared" si="3"/>
        <v/>
      </c>
      <c r="D102" s="98"/>
      <c r="E102" s="99"/>
      <c r="F102" s="97" t="str">
        <f t="shared" si="4"/>
        <v/>
      </c>
      <c r="G102" s="98"/>
      <c r="H102" s="99"/>
      <c r="I102" s="97" t="str">
        <f t="shared" si="5"/>
        <v/>
      </c>
    </row>
    <row r="103" spans="1:9" s="97" customFormat="1" ht="17">
      <c r="A103" s="95"/>
      <c r="B103" s="96"/>
      <c r="C103" s="97" t="str">
        <f t="shared" si="3"/>
        <v/>
      </c>
      <c r="D103" s="98"/>
      <c r="E103" s="99"/>
      <c r="F103" s="97" t="str">
        <f t="shared" si="4"/>
        <v/>
      </c>
      <c r="G103" s="98"/>
      <c r="H103" s="99"/>
      <c r="I103" s="97" t="str">
        <f t="shared" si="5"/>
        <v/>
      </c>
    </row>
    <row r="104" spans="1:9" s="97" customFormat="1" ht="17">
      <c r="A104" s="95"/>
      <c r="B104" s="96"/>
      <c r="C104" s="97" t="str">
        <f t="shared" si="3"/>
        <v/>
      </c>
      <c r="D104" s="98"/>
      <c r="E104" s="99"/>
      <c r="F104" s="97" t="str">
        <f t="shared" si="4"/>
        <v/>
      </c>
      <c r="G104" s="98"/>
      <c r="H104" s="99"/>
      <c r="I104" s="97" t="str">
        <f t="shared" si="5"/>
        <v/>
      </c>
    </row>
    <row r="105" spans="1:9" s="97" customFormat="1" ht="17">
      <c r="A105" s="95"/>
      <c r="B105" s="96"/>
      <c r="C105" s="97" t="str">
        <f t="shared" si="3"/>
        <v/>
      </c>
      <c r="D105" s="98"/>
      <c r="E105" s="99"/>
      <c r="F105" s="97" t="str">
        <f t="shared" si="4"/>
        <v/>
      </c>
      <c r="G105" s="98"/>
      <c r="H105" s="99"/>
      <c r="I105" s="97" t="str">
        <f t="shared" si="5"/>
        <v/>
      </c>
    </row>
    <row r="106" spans="1:9" s="97" customFormat="1" ht="17">
      <c r="A106" s="95"/>
      <c r="B106" s="96"/>
      <c r="C106" s="97" t="str">
        <f t="shared" si="3"/>
        <v/>
      </c>
      <c r="D106" s="98"/>
      <c r="E106" s="99"/>
      <c r="F106" s="97" t="str">
        <f t="shared" si="4"/>
        <v/>
      </c>
      <c r="G106" s="98"/>
      <c r="H106" s="99"/>
      <c r="I106" s="97" t="str">
        <f t="shared" si="5"/>
        <v/>
      </c>
    </row>
    <row r="107" spans="1:9" s="97" customFormat="1" ht="17">
      <c r="A107" s="95"/>
      <c r="B107" s="96"/>
      <c r="C107" s="97" t="str">
        <f t="shared" si="3"/>
        <v/>
      </c>
      <c r="D107" s="98"/>
      <c r="E107" s="99"/>
      <c r="F107" s="97" t="str">
        <f t="shared" si="4"/>
        <v/>
      </c>
      <c r="G107" s="98"/>
      <c r="H107" s="99"/>
      <c r="I107" s="97" t="str">
        <f t="shared" si="5"/>
        <v/>
      </c>
    </row>
    <row r="108" spans="1:9" s="97" customFormat="1" ht="17">
      <c r="A108" s="95"/>
      <c r="B108" s="96"/>
      <c r="C108" s="97" t="str">
        <f t="shared" si="3"/>
        <v/>
      </c>
      <c r="D108" s="98"/>
      <c r="E108" s="99"/>
      <c r="F108" s="97" t="str">
        <f t="shared" si="4"/>
        <v/>
      </c>
      <c r="G108" s="98"/>
      <c r="H108" s="99"/>
      <c r="I108" s="97" t="str">
        <f t="shared" si="5"/>
        <v/>
      </c>
    </row>
    <row r="109" spans="1:9" s="97" customFormat="1" ht="17">
      <c r="A109" s="95"/>
      <c r="B109" s="96"/>
      <c r="C109" s="97" t="str">
        <f t="shared" si="3"/>
        <v/>
      </c>
      <c r="D109" s="98"/>
      <c r="E109" s="99"/>
      <c r="F109" s="97" t="str">
        <f t="shared" si="4"/>
        <v/>
      </c>
      <c r="G109" s="98"/>
      <c r="H109" s="99"/>
      <c r="I109" s="97" t="str">
        <f t="shared" si="5"/>
        <v/>
      </c>
    </row>
    <row r="110" spans="1:9" s="97" customFormat="1" ht="17">
      <c r="A110" s="95"/>
      <c r="B110" s="96"/>
      <c r="C110" s="97" t="str">
        <f t="shared" si="3"/>
        <v/>
      </c>
      <c r="D110" s="98"/>
      <c r="E110" s="99"/>
      <c r="F110" s="97" t="str">
        <f t="shared" si="4"/>
        <v/>
      </c>
      <c r="G110" s="98"/>
      <c r="H110" s="99"/>
      <c r="I110" s="97" t="str">
        <f t="shared" si="5"/>
        <v/>
      </c>
    </row>
    <row r="111" spans="1:9" s="97" customFormat="1" ht="17">
      <c r="A111" s="95"/>
      <c r="B111" s="96"/>
      <c r="C111" s="97" t="str">
        <f t="shared" si="3"/>
        <v/>
      </c>
      <c r="D111" s="98"/>
      <c r="E111" s="99"/>
      <c r="F111" s="97" t="str">
        <f t="shared" si="4"/>
        <v/>
      </c>
      <c r="G111" s="98"/>
      <c r="H111" s="99"/>
      <c r="I111" s="97" t="str">
        <f t="shared" si="5"/>
        <v/>
      </c>
    </row>
    <row r="112" spans="1:9" s="97" customFormat="1" ht="17">
      <c r="A112" s="95"/>
      <c r="B112" s="96"/>
      <c r="C112" s="97" t="str">
        <f t="shared" si="3"/>
        <v/>
      </c>
      <c r="D112" s="98"/>
      <c r="E112" s="99"/>
      <c r="F112" s="97" t="str">
        <f t="shared" si="4"/>
        <v/>
      </c>
      <c r="G112" s="98"/>
      <c r="H112" s="99"/>
      <c r="I112" s="97" t="str">
        <f t="shared" si="5"/>
        <v/>
      </c>
    </row>
    <row r="113" spans="1:9" s="97" customFormat="1" ht="17">
      <c r="A113" s="95"/>
      <c r="B113" s="96"/>
      <c r="C113" s="97" t="str">
        <f t="shared" si="3"/>
        <v/>
      </c>
      <c r="D113" s="98"/>
      <c r="E113" s="99"/>
      <c r="F113" s="97" t="str">
        <f t="shared" si="4"/>
        <v/>
      </c>
      <c r="G113" s="98"/>
      <c r="H113" s="99"/>
      <c r="I113" s="97" t="str">
        <f t="shared" si="5"/>
        <v/>
      </c>
    </row>
    <row r="114" spans="1:9" s="97" customFormat="1" ht="17">
      <c r="A114" s="95"/>
      <c r="B114" s="96"/>
      <c r="C114" s="97" t="str">
        <f t="shared" si="3"/>
        <v/>
      </c>
      <c r="D114" s="98"/>
      <c r="E114" s="99"/>
      <c r="F114" s="97" t="str">
        <f t="shared" si="4"/>
        <v/>
      </c>
      <c r="G114" s="98"/>
      <c r="H114" s="99"/>
      <c r="I114" s="97" t="str">
        <f t="shared" si="5"/>
        <v/>
      </c>
    </row>
    <row r="115" spans="1:9" s="97" customFormat="1" ht="17">
      <c r="A115" s="95"/>
      <c r="B115" s="96"/>
      <c r="C115" s="97" t="str">
        <f t="shared" si="3"/>
        <v/>
      </c>
      <c r="D115" s="98"/>
      <c r="E115" s="99"/>
      <c r="F115" s="97" t="str">
        <f t="shared" si="4"/>
        <v/>
      </c>
      <c r="G115" s="98"/>
      <c r="H115" s="99"/>
      <c r="I115" s="97" t="str">
        <f t="shared" si="5"/>
        <v/>
      </c>
    </row>
    <row r="116" spans="1:9" s="97" customFormat="1" ht="17">
      <c r="A116" s="95"/>
      <c r="B116" s="96"/>
      <c r="C116" s="97" t="str">
        <f t="shared" si="3"/>
        <v/>
      </c>
      <c r="D116" s="98"/>
      <c r="E116" s="99"/>
      <c r="F116" s="97" t="str">
        <f t="shared" si="4"/>
        <v/>
      </c>
      <c r="G116" s="98"/>
      <c r="H116" s="99"/>
      <c r="I116" s="97" t="str">
        <f t="shared" si="5"/>
        <v/>
      </c>
    </row>
    <row r="117" spans="1:9" s="97" customFormat="1" ht="17">
      <c r="A117" s="95"/>
      <c r="B117" s="96"/>
      <c r="C117" s="97" t="str">
        <f t="shared" si="3"/>
        <v/>
      </c>
      <c r="D117" s="98"/>
      <c r="E117" s="99"/>
      <c r="F117" s="97" t="str">
        <f t="shared" si="4"/>
        <v/>
      </c>
      <c r="G117" s="98"/>
      <c r="H117" s="99"/>
      <c r="I117" s="97" t="str">
        <f t="shared" si="5"/>
        <v/>
      </c>
    </row>
    <row r="118" spans="1:9" s="97" customFormat="1" ht="17">
      <c r="A118" s="95"/>
      <c r="B118" s="96"/>
      <c r="C118" s="97" t="str">
        <f t="shared" si="3"/>
        <v/>
      </c>
      <c r="D118" s="98"/>
      <c r="E118" s="99"/>
      <c r="F118" s="97" t="str">
        <f t="shared" si="4"/>
        <v/>
      </c>
      <c r="G118" s="98"/>
      <c r="H118" s="99"/>
      <c r="I118" s="97" t="str">
        <f t="shared" si="5"/>
        <v/>
      </c>
    </row>
    <row r="119" spans="1:9" s="97" customFormat="1" ht="17">
      <c r="A119" s="95"/>
      <c r="B119" s="96"/>
      <c r="C119" s="97" t="str">
        <f t="shared" si="3"/>
        <v/>
      </c>
      <c r="D119" s="98"/>
      <c r="E119" s="99"/>
      <c r="F119" s="97" t="str">
        <f t="shared" si="4"/>
        <v/>
      </c>
      <c r="G119" s="98"/>
      <c r="H119" s="99"/>
      <c r="I119" s="97" t="str">
        <f t="shared" si="5"/>
        <v/>
      </c>
    </row>
    <row r="120" spans="1:9" s="97" customFormat="1" ht="17">
      <c r="A120" s="95"/>
      <c r="B120" s="96"/>
      <c r="C120" s="97" t="str">
        <f t="shared" si="3"/>
        <v/>
      </c>
      <c r="D120" s="98"/>
      <c r="E120" s="99"/>
      <c r="F120" s="97" t="str">
        <f t="shared" si="4"/>
        <v/>
      </c>
      <c r="G120" s="98"/>
      <c r="H120" s="99"/>
      <c r="I120" s="97" t="str">
        <f t="shared" si="5"/>
        <v/>
      </c>
    </row>
    <row r="121" spans="1:9" s="97" customFormat="1" ht="17">
      <c r="A121" s="95"/>
      <c r="B121" s="96"/>
      <c r="C121" s="97" t="str">
        <f t="shared" si="3"/>
        <v/>
      </c>
      <c r="D121" s="98"/>
      <c r="E121" s="99"/>
      <c r="F121" s="97" t="str">
        <f t="shared" si="4"/>
        <v/>
      </c>
      <c r="G121" s="98"/>
      <c r="H121" s="99"/>
      <c r="I121" s="97" t="str">
        <f t="shared" si="5"/>
        <v/>
      </c>
    </row>
    <row r="122" spans="1:9" s="97" customFormat="1" ht="17">
      <c r="A122" s="95"/>
      <c r="B122" s="96"/>
      <c r="C122" s="97" t="str">
        <f t="shared" si="3"/>
        <v/>
      </c>
      <c r="D122" s="98"/>
      <c r="E122" s="99"/>
      <c r="F122" s="97" t="str">
        <f t="shared" si="4"/>
        <v/>
      </c>
      <c r="G122" s="98"/>
      <c r="H122" s="99"/>
      <c r="I122" s="97" t="str">
        <f t="shared" si="5"/>
        <v/>
      </c>
    </row>
    <row r="123" spans="1:9" s="97" customFormat="1" ht="17">
      <c r="A123" s="95"/>
      <c r="B123" s="101"/>
      <c r="C123" s="97" t="str">
        <f t="shared" si="3"/>
        <v/>
      </c>
      <c r="D123" s="98"/>
      <c r="E123" s="99"/>
      <c r="F123" s="97" t="str">
        <f t="shared" si="4"/>
        <v/>
      </c>
      <c r="G123" s="98"/>
      <c r="H123" s="99"/>
      <c r="I123" s="97" t="str">
        <f t="shared" si="5"/>
        <v/>
      </c>
    </row>
    <row r="124" spans="1:9" s="97" customFormat="1" ht="17">
      <c r="A124" s="95"/>
      <c r="B124" s="96"/>
      <c r="C124" s="97" t="str">
        <f t="shared" si="3"/>
        <v/>
      </c>
      <c r="D124" s="98"/>
      <c r="E124" s="99"/>
      <c r="F124" s="97" t="str">
        <f t="shared" si="4"/>
        <v/>
      </c>
      <c r="G124" s="98"/>
      <c r="H124" s="99"/>
      <c r="I124" s="97" t="str">
        <f t="shared" si="5"/>
        <v/>
      </c>
    </row>
    <row r="125" spans="1:9" s="97" customFormat="1" ht="17">
      <c r="A125" s="95"/>
      <c r="B125" s="96"/>
      <c r="C125" s="97" t="str">
        <f t="shared" si="3"/>
        <v/>
      </c>
      <c r="D125" s="98"/>
      <c r="E125" s="99"/>
      <c r="F125" s="97" t="str">
        <f t="shared" si="4"/>
        <v/>
      </c>
      <c r="G125" s="98"/>
      <c r="H125" s="99"/>
      <c r="I125" s="97" t="str">
        <f t="shared" si="5"/>
        <v/>
      </c>
    </row>
    <row r="126" spans="1:9" s="97" customFormat="1" ht="17">
      <c r="A126" s="95"/>
      <c r="B126" s="96"/>
      <c r="C126" s="97" t="str">
        <f t="shared" si="3"/>
        <v/>
      </c>
      <c r="D126" s="98"/>
      <c r="E126" s="99"/>
      <c r="F126" s="97" t="str">
        <f t="shared" si="4"/>
        <v/>
      </c>
      <c r="G126" s="98"/>
      <c r="H126" s="99"/>
      <c r="I126" s="97" t="str">
        <f t="shared" si="5"/>
        <v/>
      </c>
    </row>
    <row r="127" spans="1:9" s="97" customFormat="1" ht="17">
      <c r="A127" s="95"/>
      <c r="B127" s="96"/>
      <c r="C127" s="97" t="str">
        <f t="shared" si="3"/>
        <v/>
      </c>
      <c r="D127" s="98"/>
      <c r="E127" s="99"/>
      <c r="F127" s="97" t="str">
        <f t="shared" si="4"/>
        <v/>
      </c>
      <c r="G127" s="98"/>
      <c r="H127" s="99"/>
      <c r="I127" s="97" t="str">
        <f t="shared" si="5"/>
        <v/>
      </c>
    </row>
    <row r="128" spans="1:9" s="97" customFormat="1" ht="17">
      <c r="A128" s="95"/>
      <c r="B128" s="96"/>
      <c r="C128" s="97" t="str">
        <f t="shared" si="3"/>
        <v/>
      </c>
      <c r="D128" s="98"/>
      <c r="E128" s="99"/>
      <c r="F128" s="97" t="str">
        <f t="shared" si="4"/>
        <v/>
      </c>
      <c r="G128" s="98"/>
      <c r="H128" s="99"/>
      <c r="I128" s="97" t="str">
        <f t="shared" si="5"/>
        <v/>
      </c>
    </row>
    <row r="129" spans="1:9" s="97" customFormat="1" ht="17">
      <c r="A129" s="95"/>
      <c r="B129" s="96"/>
      <c r="C129" s="97" t="str">
        <f t="shared" si="3"/>
        <v/>
      </c>
      <c r="D129" s="98"/>
      <c r="E129" s="99"/>
      <c r="F129" s="97" t="str">
        <f t="shared" si="4"/>
        <v/>
      </c>
      <c r="G129" s="98"/>
      <c r="H129" s="99"/>
      <c r="I129" s="97" t="str">
        <f t="shared" si="5"/>
        <v/>
      </c>
    </row>
    <row r="130" spans="1:9" s="97" customFormat="1" ht="17">
      <c r="A130" s="95"/>
      <c r="B130" s="96"/>
      <c r="C130" s="97" t="str">
        <f t="shared" si="3"/>
        <v/>
      </c>
      <c r="D130" s="98"/>
      <c r="E130" s="99"/>
      <c r="F130" s="97" t="str">
        <f t="shared" si="4"/>
        <v/>
      </c>
      <c r="G130" s="98"/>
      <c r="H130" s="99"/>
      <c r="I130" s="97" t="str">
        <f t="shared" si="5"/>
        <v/>
      </c>
    </row>
    <row r="131" spans="1:9" s="97" customFormat="1" ht="17">
      <c r="A131" s="95"/>
      <c r="B131" s="96"/>
      <c r="C131" s="97" t="str">
        <f t="shared" si="3"/>
        <v/>
      </c>
      <c r="D131" s="98"/>
      <c r="E131" s="99"/>
      <c r="F131" s="97" t="str">
        <f t="shared" si="4"/>
        <v/>
      </c>
      <c r="G131" s="98"/>
      <c r="H131" s="99"/>
      <c r="I131" s="97" t="str">
        <f t="shared" si="5"/>
        <v/>
      </c>
    </row>
    <row r="132" spans="1:9" s="97" customFormat="1" ht="17">
      <c r="A132" s="95"/>
      <c r="B132" s="96"/>
      <c r="C132" s="97" t="str">
        <f t="shared" si="3"/>
        <v/>
      </c>
      <c r="D132" s="98"/>
      <c r="E132" s="99"/>
      <c r="F132" s="97" t="str">
        <f t="shared" si="4"/>
        <v/>
      </c>
      <c r="G132" s="98"/>
      <c r="H132" s="99"/>
      <c r="I132" s="97" t="str">
        <f t="shared" si="5"/>
        <v/>
      </c>
    </row>
    <row r="133" spans="1:9" s="97" customFormat="1" ht="17">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
      <c r="A134" s="95"/>
      <c r="B134" s="96"/>
      <c r="C134" s="97" t="str">
        <f t="shared" si="6"/>
        <v/>
      </c>
      <c r="D134" s="98"/>
      <c r="E134" s="99"/>
      <c r="F134" s="97" t="str">
        <f t="shared" si="7"/>
        <v/>
      </c>
      <c r="G134" s="98"/>
      <c r="H134" s="99"/>
      <c r="I134" s="97" t="str">
        <f t="shared" si="8"/>
        <v/>
      </c>
    </row>
    <row r="135" spans="1:9" s="97" customFormat="1" ht="17">
      <c r="A135" s="95"/>
      <c r="B135" s="96"/>
      <c r="C135" s="97" t="str">
        <f t="shared" si="6"/>
        <v/>
      </c>
      <c r="D135" s="98"/>
      <c r="E135" s="99"/>
      <c r="F135" s="97" t="str">
        <f t="shared" si="7"/>
        <v/>
      </c>
      <c r="G135" s="98"/>
      <c r="H135" s="99"/>
      <c r="I135" s="97" t="str">
        <f t="shared" si="8"/>
        <v/>
      </c>
    </row>
    <row r="136" spans="1:9" s="97" customFormat="1" ht="17">
      <c r="A136" s="95"/>
      <c r="B136" s="96"/>
      <c r="C136" s="97" t="str">
        <f t="shared" si="6"/>
        <v/>
      </c>
      <c r="D136" s="98"/>
      <c r="E136" s="99"/>
      <c r="F136" s="97" t="str">
        <f t="shared" si="7"/>
        <v/>
      </c>
      <c r="G136" s="98"/>
      <c r="H136" s="99"/>
      <c r="I136" s="97" t="str">
        <f t="shared" si="8"/>
        <v/>
      </c>
    </row>
    <row r="137" spans="1:9" s="97" customFormat="1" ht="17">
      <c r="A137" s="95"/>
      <c r="B137" s="96"/>
      <c r="C137" s="97" t="str">
        <f t="shared" si="6"/>
        <v/>
      </c>
      <c r="D137" s="98"/>
      <c r="E137" s="99"/>
      <c r="F137" s="97" t="str">
        <f t="shared" si="7"/>
        <v/>
      </c>
      <c r="G137" s="98"/>
      <c r="H137" s="99"/>
      <c r="I137" s="97" t="str">
        <f t="shared" si="8"/>
        <v/>
      </c>
    </row>
    <row r="138" spans="1:9" s="97" customFormat="1" ht="17">
      <c r="A138" s="95"/>
      <c r="B138" s="96"/>
      <c r="C138" s="97" t="str">
        <f t="shared" si="6"/>
        <v/>
      </c>
      <c r="D138" s="98"/>
      <c r="E138" s="99"/>
      <c r="F138" s="97" t="str">
        <f t="shared" si="7"/>
        <v/>
      </c>
      <c r="G138" s="98"/>
      <c r="H138" s="99"/>
      <c r="I138" s="97" t="str">
        <f t="shared" si="8"/>
        <v/>
      </c>
    </row>
    <row r="139" spans="1:9" s="97" customFormat="1" ht="17">
      <c r="A139" s="95"/>
      <c r="B139" s="96"/>
      <c r="C139" s="97" t="str">
        <f t="shared" si="6"/>
        <v/>
      </c>
      <c r="D139" s="98"/>
      <c r="E139" s="99"/>
      <c r="F139" s="97" t="str">
        <f t="shared" si="7"/>
        <v/>
      </c>
      <c r="G139" s="98"/>
      <c r="H139" s="99"/>
      <c r="I139" s="97" t="str">
        <f t="shared" si="8"/>
        <v/>
      </c>
    </row>
    <row r="140" spans="1:9" s="97" customFormat="1" ht="17">
      <c r="A140" s="95"/>
      <c r="B140" s="96"/>
      <c r="C140" s="97" t="str">
        <f t="shared" si="6"/>
        <v/>
      </c>
      <c r="D140" s="98"/>
      <c r="E140" s="99"/>
      <c r="F140" s="97" t="str">
        <f t="shared" si="7"/>
        <v/>
      </c>
      <c r="G140" s="98"/>
      <c r="H140" s="99"/>
      <c r="I140" s="97" t="str">
        <f t="shared" si="8"/>
        <v/>
      </c>
    </row>
    <row r="141" spans="1:9" s="97" customFormat="1" ht="17">
      <c r="A141" s="95"/>
      <c r="B141" s="96"/>
      <c r="C141" s="97" t="str">
        <f t="shared" si="6"/>
        <v/>
      </c>
      <c r="D141" s="98"/>
      <c r="E141" s="99"/>
      <c r="F141" s="97" t="str">
        <f t="shared" si="7"/>
        <v/>
      </c>
      <c r="G141" s="98"/>
      <c r="H141" s="99"/>
      <c r="I141" s="97" t="str">
        <f t="shared" si="8"/>
        <v/>
      </c>
    </row>
    <row r="142" spans="1:9" s="97" customFormat="1" ht="17">
      <c r="A142" s="95"/>
      <c r="B142" s="96"/>
      <c r="C142" s="97" t="str">
        <f t="shared" si="6"/>
        <v/>
      </c>
      <c r="D142" s="98"/>
      <c r="E142" s="99"/>
      <c r="F142" s="97" t="str">
        <f t="shared" si="7"/>
        <v/>
      </c>
      <c r="G142" s="98"/>
      <c r="H142" s="99"/>
      <c r="I142" s="97" t="str">
        <f t="shared" si="8"/>
        <v/>
      </c>
    </row>
    <row r="143" spans="1:9" s="97" customFormat="1" ht="17">
      <c r="A143" s="95"/>
      <c r="B143" s="96"/>
      <c r="C143" s="97" t="str">
        <f t="shared" si="6"/>
        <v/>
      </c>
      <c r="D143" s="98"/>
      <c r="E143" s="99"/>
      <c r="F143" s="97" t="str">
        <f t="shared" si="7"/>
        <v/>
      </c>
      <c r="G143" s="98"/>
      <c r="H143" s="99"/>
      <c r="I143" s="97" t="str">
        <f t="shared" si="8"/>
        <v/>
      </c>
    </row>
    <row r="144" spans="1:9" s="97" customFormat="1" ht="17">
      <c r="A144" s="95"/>
      <c r="B144" s="96"/>
      <c r="C144" s="97" t="str">
        <f t="shared" si="6"/>
        <v/>
      </c>
      <c r="D144" s="98"/>
      <c r="E144" s="99"/>
      <c r="F144" s="97" t="str">
        <f t="shared" si="7"/>
        <v/>
      </c>
      <c r="G144" s="98"/>
      <c r="H144" s="99"/>
      <c r="I144" s="97" t="str">
        <f t="shared" si="8"/>
        <v/>
      </c>
    </row>
    <row r="145" spans="1:9" s="97" customFormat="1" ht="17">
      <c r="A145" s="95"/>
      <c r="B145" s="96"/>
      <c r="C145" s="97" t="str">
        <f t="shared" si="6"/>
        <v/>
      </c>
      <c r="D145" s="98"/>
      <c r="E145" s="99"/>
      <c r="F145" s="97" t="str">
        <f t="shared" si="7"/>
        <v/>
      </c>
      <c r="G145" s="98"/>
      <c r="H145" s="99"/>
      <c r="I145" s="97" t="str">
        <f t="shared" si="8"/>
        <v/>
      </c>
    </row>
    <row r="146" spans="1:9" s="97" customFormat="1" ht="17">
      <c r="A146" s="95"/>
      <c r="B146" s="96"/>
      <c r="C146" s="97" t="str">
        <f t="shared" si="6"/>
        <v/>
      </c>
      <c r="D146" s="98"/>
      <c r="E146" s="99"/>
      <c r="F146" s="97" t="str">
        <f t="shared" si="7"/>
        <v/>
      </c>
      <c r="G146" s="98"/>
      <c r="H146" s="99"/>
      <c r="I146" s="97" t="str">
        <f t="shared" si="8"/>
        <v/>
      </c>
    </row>
    <row r="147" spans="1:9" s="97" customFormat="1" ht="17">
      <c r="A147" s="95"/>
      <c r="B147" s="96"/>
      <c r="C147" s="97" t="str">
        <f t="shared" si="6"/>
        <v/>
      </c>
      <c r="D147" s="98"/>
      <c r="E147" s="99"/>
      <c r="F147" s="97" t="str">
        <f t="shared" si="7"/>
        <v/>
      </c>
      <c r="G147" s="98"/>
      <c r="H147" s="99"/>
      <c r="I147" s="97" t="str">
        <f t="shared" si="8"/>
        <v/>
      </c>
    </row>
    <row r="148" spans="1:9" s="97" customFormat="1" ht="17">
      <c r="A148" s="95"/>
      <c r="B148" s="96"/>
      <c r="C148" s="97" t="str">
        <f t="shared" si="6"/>
        <v/>
      </c>
      <c r="D148" s="98"/>
      <c r="E148" s="99"/>
      <c r="F148" s="97" t="str">
        <f t="shared" si="7"/>
        <v/>
      </c>
      <c r="G148" s="98"/>
      <c r="H148" s="99"/>
      <c r="I148" s="97" t="str">
        <f t="shared" si="8"/>
        <v/>
      </c>
    </row>
    <row r="149" spans="1:9" s="97" customFormat="1" ht="17">
      <c r="A149" s="95"/>
      <c r="B149" s="96"/>
      <c r="C149" s="97" t="str">
        <f t="shared" si="6"/>
        <v/>
      </c>
      <c r="D149" s="98"/>
      <c r="E149" s="99"/>
      <c r="F149" s="97" t="str">
        <f t="shared" si="7"/>
        <v/>
      </c>
      <c r="G149" s="98"/>
      <c r="H149" s="99"/>
      <c r="I149" s="97" t="str">
        <f t="shared" si="8"/>
        <v/>
      </c>
    </row>
    <row r="150" spans="1:9" s="97" customFormat="1" ht="17">
      <c r="A150" s="95"/>
      <c r="B150" s="96"/>
      <c r="C150" s="97" t="str">
        <f t="shared" si="6"/>
        <v/>
      </c>
      <c r="D150" s="98"/>
      <c r="E150" s="99"/>
      <c r="F150" s="97" t="str">
        <f t="shared" si="7"/>
        <v/>
      </c>
      <c r="G150" s="98"/>
      <c r="H150" s="99"/>
      <c r="I150" s="97" t="str">
        <f t="shared" si="8"/>
        <v/>
      </c>
    </row>
    <row r="151" spans="1:9" s="97" customFormat="1" ht="17">
      <c r="A151" s="95"/>
      <c r="B151" s="96"/>
      <c r="C151" s="97" t="str">
        <f t="shared" si="6"/>
        <v/>
      </c>
      <c r="D151" s="98"/>
      <c r="E151" s="99"/>
      <c r="F151" s="97" t="str">
        <f t="shared" si="7"/>
        <v/>
      </c>
      <c r="G151" s="98"/>
      <c r="H151" s="99"/>
      <c r="I151" s="97" t="str">
        <f t="shared" si="8"/>
        <v/>
      </c>
    </row>
    <row r="152" spans="1:9" s="97" customFormat="1" ht="17">
      <c r="A152" s="95"/>
      <c r="B152" s="96"/>
      <c r="C152" s="97" t="str">
        <f t="shared" si="6"/>
        <v/>
      </c>
      <c r="D152" s="98"/>
      <c r="E152" s="99"/>
      <c r="F152" s="97" t="str">
        <f t="shared" si="7"/>
        <v/>
      </c>
      <c r="G152" s="98"/>
      <c r="H152" s="99"/>
      <c r="I152" s="97" t="str">
        <f t="shared" si="8"/>
        <v/>
      </c>
    </row>
    <row r="153" spans="1:9" s="97" customFormat="1" ht="17">
      <c r="A153" s="95"/>
      <c r="B153" s="96"/>
      <c r="C153" s="97" t="str">
        <f t="shared" si="6"/>
        <v/>
      </c>
      <c r="D153" s="98"/>
      <c r="E153" s="99"/>
      <c r="F153" s="97" t="str">
        <f t="shared" si="7"/>
        <v/>
      </c>
      <c r="G153" s="98"/>
      <c r="H153" s="99"/>
      <c r="I153" s="97" t="str">
        <f t="shared" si="8"/>
        <v/>
      </c>
    </row>
    <row r="154" spans="1:9" s="97" customFormat="1" ht="17">
      <c r="A154" s="95"/>
      <c r="B154" s="96"/>
      <c r="C154" s="97" t="str">
        <f t="shared" si="6"/>
        <v/>
      </c>
      <c r="D154" s="98"/>
      <c r="E154" s="99"/>
      <c r="F154" s="97" t="str">
        <f t="shared" si="7"/>
        <v/>
      </c>
      <c r="G154" s="98"/>
      <c r="H154" s="99"/>
      <c r="I154" s="97" t="str">
        <f t="shared" si="8"/>
        <v/>
      </c>
    </row>
    <row r="155" spans="1:9" s="97" customFormat="1" ht="17">
      <c r="A155" s="95"/>
      <c r="B155" s="96"/>
      <c r="C155" s="97" t="str">
        <f t="shared" si="6"/>
        <v/>
      </c>
      <c r="D155" s="98"/>
      <c r="E155" s="99"/>
      <c r="F155" s="97" t="str">
        <f t="shared" si="7"/>
        <v/>
      </c>
      <c r="G155" s="98"/>
      <c r="H155" s="99"/>
      <c r="I155" s="97" t="str">
        <f t="shared" si="8"/>
        <v/>
      </c>
    </row>
    <row r="156" spans="1:9" s="97" customFormat="1" ht="17">
      <c r="A156" s="95"/>
      <c r="B156" s="96"/>
      <c r="C156" s="97" t="str">
        <f t="shared" si="6"/>
        <v/>
      </c>
      <c r="D156" s="98"/>
      <c r="E156" s="99"/>
      <c r="F156" s="97" t="str">
        <f t="shared" si="7"/>
        <v/>
      </c>
      <c r="G156" s="98"/>
      <c r="H156" s="99"/>
      <c r="I156" s="97" t="str">
        <f t="shared" si="8"/>
        <v/>
      </c>
    </row>
    <row r="157" spans="1:9" s="97" customFormat="1" ht="17">
      <c r="A157" s="95"/>
      <c r="B157" s="96"/>
      <c r="C157" s="97" t="str">
        <f t="shared" si="6"/>
        <v/>
      </c>
      <c r="D157" s="98"/>
      <c r="E157" s="99"/>
      <c r="F157" s="97" t="str">
        <f t="shared" si="7"/>
        <v/>
      </c>
      <c r="G157" s="98"/>
      <c r="H157" s="99"/>
      <c r="I157" s="97" t="str">
        <f t="shared" si="8"/>
        <v/>
      </c>
    </row>
    <row r="158" spans="1:9" s="97" customFormat="1" ht="17">
      <c r="A158" s="95"/>
      <c r="B158" s="96"/>
      <c r="C158" s="97" t="str">
        <f t="shared" si="6"/>
        <v/>
      </c>
      <c r="D158" s="98"/>
      <c r="E158" s="99"/>
      <c r="F158" s="97" t="str">
        <f t="shared" si="7"/>
        <v/>
      </c>
      <c r="G158" s="98"/>
      <c r="H158" s="99"/>
      <c r="I158" s="97" t="str">
        <f t="shared" si="8"/>
        <v/>
      </c>
    </row>
    <row r="159" spans="1:9" s="97" customFormat="1" ht="17">
      <c r="A159" s="95"/>
      <c r="B159" s="96"/>
      <c r="C159" s="97" t="str">
        <f t="shared" si="6"/>
        <v/>
      </c>
      <c r="D159" s="98"/>
      <c r="E159" s="99"/>
      <c r="F159" s="97" t="str">
        <f t="shared" si="7"/>
        <v/>
      </c>
      <c r="G159" s="98"/>
      <c r="H159" s="99"/>
      <c r="I159" s="97" t="str">
        <f t="shared" si="8"/>
        <v/>
      </c>
    </row>
    <row r="160" spans="1:9" s="97" customFormat="1" ht="17">
      <c r="A160" s="95"/>
      <c r="B160" s="96"/>
      <c r="C160" s="97" t="str">
        <f t="shared" si="6"/>
        <v/>
      </c>
      <c r="D160" s="98"/>
      <c r="E160" s="99"/>
      <c r="F160" s="97" t="str">
        <f t="shared" si="7"/>
        <v/>
      </c>
      <c r="G160" s="98"/>
      <c r="H160" s="99"/>
      <c r="I160" s="97" t="str">
        <f t="shared" si="8"/>
        <v/>
      </c>
    </row>
    <row r="161" spans="1:9" s="97" customFormat="1" ht="17">
      <c r="A161" s="95"/>
      <c r="B161" s="96"/>
      <c r="C161" s="97" t="str">
        <f t="shared" si="6"/>
        <v/>
      </c>
      <c r="D161" s="98"/>
      <c r="E161" s="99"/>
      <c r="F161" s="97" t="str">
        <f t="shared" si="7"/>
        <v/>
      </c>
      <c r="G161" s="98"/>
      <c r="H161" s="99"/>
      <c r="I161" s="97" t="str">
        <f t="shared" si="8"/>
        <v/>
      </c>
    </row>
    <row r="162" spans="1:9" s="97" customFormat="1" ht="17">
      <c r="A162" s="95"/>
      <c r="B162" s="96"/>
      <c r="C162" s="97" t="str">
        <f t="shared" si="6"/>
        <v/>
      </c>
      <c r="D162" s="98"/>
      <c r="E162" s="99"/>
      <c r="F162" s="97" t="str">
        <f t="shared" si="7"/>
        <v/>
      </c>
      <c r="G162" s="98"/>
      <c r="H162" s="99"/>
      <c r="I162" s="97" t="str">
        <f t="shared" si="8"/>
        <v/>
      </c>
    </row>
    <row r="163" spans="1:9" s="97" customFormat="1" ht="17">
      <c r="A163" s="95"/>
      <c r="B163" s="96"/>
      <c r="C163" s="97" t="str">
        <f t="shared" si="6"/>
        <v/>
      </c>
      <c r="D163" s="98"/>
      <c r="E163" s="99"/>
      <c r="F163" s="97" t="str">
        <f t="shared" si="7"/>
        <v/>
      </c>
      <c r="G163" s="98"/>
      <c r="H163" s="99"/>
      <c r="I163" s="97" t="str">
        <f t="shared" si="8"/>
        <v/>
      </c>
    </row>
    <row r="164" spans="1:9" s="97" customFormat="1" ht="17">
      <c r="A164" s="95"/>
      <c r="B164" s="96"/>
      <c r="C164" s="97" t="str">
        <f t="shared" si="6"/>
        <v/>
      </c>
      <c r="D164" s="98"/>
      <c r="E164" s="99"/>
      <c r="F164" s="97" t="str">
        <f t="shared" si="7"/>
        <v/>
      </c>
      <c r="G164" s="98"/>
      <c r="H164" s="99"/>
      <c r="I164" s="97" t="str">
        <f t="shared" si="8"/>
        <v/>
      </c>
    </row>
    <row r="165" spans="1:9" s="97" customFormat="1" ht="17">
      <c r="A165" s="95"/>
      <c r="B165" s="96"/>
      <c r="C165" s="97" t="str">
        <f t="shared" si="6"/>
        <v/>
      </c>
      <c r="D165" s="98"/>
      <c r="E165" s="99"/>
      <c r="F165" s="97" t="str">
        <f t="shared" si="7"/>
        <v/>
      </c>
      <c r="G165" s="98"/>
      <c r="H165" s="99"/>
      <c r="I165" s="97" t="str">
        <f t="shared" si="8"/>
        <v/>
      </c>
    </row>
    <row r="166" spans="1:9" s="97" customFormat="1" ht="17">
      <c r="A166" s="95"/>
      <c r="B166" s="96"/>
      <c r="C166" s="97" t="str">
        <f t="shared" si="6"/>
        <v/>
      </c>
      <c r="D166" s="98"/>
      <c r="E166" s="99"/>
      <c r="F166" s="97" t="str">
        <f t="shared" si="7"/>
        <v/>
      </c>
      <c r="G166" s="98"/>
      <c r="H166" s="99"/>
      <c r="I166" s="97" t="str">
        <f t="shared" si="8"/>
        <v/>
      </c>
    </row>
    <row r="167" spans="1:9" s="97" customFormat="1" ht="17">
      <c r="A167" s="95"/>
      <c r="B167" s="96"/>
      <c r="C167" s="97" t="str">
        <f t="shared" si="6"/>
        <v/>
      </c>
      <c r="D167" s="98"/>
      <c r="E167" s="99"/>
      <c r="F167" s="97" t="str">
        <f t="shared" si="7"/>
        <v/>
      </c>
      <c r="G167" s="98"/>
      <c r="H167" s="99"/>
      <c r="I167" s="97" t="str">
        <f t="shared" si="8"/>
        <v/>
      </c>
    </row>
    <row r="168" spans="1:9" s="97" customFormat="1" ht="17">
      <c r="A168" s="95"/>
      <c r="B168" s="96"/>
      <c r="C168" s="97" t="str">
        <f t="shared" si="6"/>
        <v/>
      </c>
      <c r="D168" s="98"/>
      <c r="E168" s="99"/>
      <c r="F168" s="97" t="str">
        <f t="shared" si="7"/>
        <v/>
      </c>
      <c r="G168" s="98"/>
      <c r="H168" s="99"/>
      <c r="I168" s="97" t="str">
        <f t="shared" si="8"/>
        <v/>
      </c>
    </row>
    <row r="169" spans="1:9" s="97" customFormat="1" ht="17">
      <c r="A169" s="95"/>
      <c r="B169" s="96"/>
      <c r="C169" s="97" t="str">
        <f t="shared" si="6"/>
        <v/>
      </c>
      <c r="D169" s="98"/>
      <c r="E169" s="99"/>
      <c r="F169" s="97" t="str">
        <f t="shared" si="7"/>
        <v/>
      </c>
      <c r="G169" s="98"/>
      <c r="H169" s="99"/>
      <c r="I169" s="97" t="str">
        <f t="shared" si="8"/>
        <v/>
      </c>
    </row>
    <row r="170" spans="1:9" s="97" customFormat="1" ht="17">
      <c r="A170" s="95"/>
      <c r="B170" s="96"/>
      <c r="C170" s="97" t="str">
        <f t="shared" si="6"/>
        <v/>
      </c>
      <c r="D170" s="98"/>
      <c r="E170" s="99"/>
      <c r="F170" s="97" t="str">
        <f t="shared" si="7"/>
        <v/>
      </c>
      <c r="G170" s="98"/>
      <c r="H170" s="99"/>
      <c r="I170" s="97" t="str">
        <f t="shared" si="8"/>
        <v/>
      </c>
    </row>
    <row r="171" spans="1:9" s="97" customFormat="1" ht="17">
      <c r="A171" s="95"/>
      <c r="B171" s="96"/>
      <c r="C171" s="97" t="str">
        <f t="shared" si="6"/>
        <v/>
      </c>
      <c r="D171" s="98"/>
      <c r="E171" s="99"/>
      <c r="F171" s="97" t="str">
        <f t="shared" si="7"/>
        <v/>
      </c>
      <c r="G171" s="98"/>
      <c r="H171" s="99"/>
      <c r="I171" s="97" t="str">
        <f t="shared" si="8"/>
        <v/>
      </c>
    </row>
    <row r="172" spans="1:9" s="97" customFormat="1" ht="17">
      <c r="A172" s="95"/>
      <c r="B172" s="96"/>
      <c r="C172" s="97" t="str">
        <f t="shared" si="6"/>
        <v/>
      </c>
      <c r="D172" s="98"/>
      <c r="E172" s="99"/>
      <c r="F172" s="97" t="str">
        <f t="shared" si="7"/>
        <v/>
      </c>
      <c r="G172" s="98"/>
      <c r="H172" s="99"/>
      <c r="I172" s="97" t="str">
        <f t="shared" si="8"/>
        <v/>
      </c>
    </row>
    <row r="173" spans="1:9" s="97" customFormat="1" ht="17">
      <c r="A173" s="95"/>
      <c r="B173" s="96"/>
      <c r="C173" s="97" t="str">
        <f t="shared" si="6"/>
        <v/>
      </c>
      <c r="D173" s="98"/>
      <c r="E173" s="99"/>
      <c r="F173" s="97" t="str">
        <f t="shared" si="7"/>
        <v/>
      </c>
      <c r="G173" s="98"/>
      <c r="H173" s="99"/>
      <c r="I173" s="97" t="str">
        <f t="shared" si="8"/>
        <v/>
      </c>
    </row>
    <row r="174" spans="1:9" s="97" customFormat="1" ht="17">
      <c r="A174" s="95"/>
      <c r="B174" s="96"/>
      <c r="C174" s="97" t="str">
        <f t="shared" si="6"/>
        <v/>
      </c>
      <c r="D174" s="98"/>
      <c r="E174" s="99"/>
      <c r="F174" s="97" t="str">
        <f t="shared" si="7"/>
        <v/>
      </c>
      <c r="G174" s="98"/>
      <c r="H174" s="99"/>
      <c r="I174" s="97" t="str">
        <f t="shared" si="8"/>
        <v/>
      </c>
    </row>
    <row r="175" spans="1:9" s="97" customFormat="1" ht="17">
      <c r="A175" s="95"/>
      <c r="B175" s="96"/>
      <c r="C175" s="97" t="str">
        <f t="shared" si="6"/>
        <v/>
      </c>
      <c r="D175" s="98"/>
      <c r="E175" s="99"/>
      <c r="F175" s="97" t="str">
        <f t="shared" si="7"/>
        <v/>
      </c>
      <c r="G175" s="98"/>
      <c r="H175" s="99"/>
      <c r="I175" s="97" t="str">
        <f t="shared" si="8"/>
        <v/>
      </c>
    </row>
    <row r="176" spans="1:9" s="97" customFormat="1" ht="17">
      <c r="A176" s="95"/>
      <c r="B176" s="96"/>
      <c r="C176" s="97" t="str">
        <f t="shared" si="6"/>
        <v/>
      </c>
      <c r="D176" s="98"/>
      <c r="E176" s="99"/>
      <c r="F176" s="97" t="str">
        <f t="shared" si="7"/>
        <v/>
      </c>
      <c r="G176" s="98"/>
      <c r="H176" s="99"/>
      <c r="I176" s="97" t="str">
        <f t="shared" si="8"/>
        <v/>
      </c>
    </row>
    <row r="177" spans="1:9" s="97" customFormat="1" ht="17">
      <c r="A177" s="95"/>
      <c r="B177" s="96"/>
      <c r="C177" s="97" t="str">
        <f t="shared" si="6"/>
        <v/>
      </c>
      <c r="D177" s="98"/>
      <c r="E177" s="99"/>
      <c r="F177" s="97" t="str">
        <f t="shared" si="7"/>
        <v/>
      </c>
      <c r="G177" s="98"/>
      <c r="H177" s="99"/>
      <c r="I177" s="97" t="str">
        <f t="shared" si="8"/>
        <v/>
      </c>
    </row>
    <row r="178" spans="1:9" s="97" customFormat="1" ht="17">
      <c r="A178" s="95"/>
      <c r="B178" s="96"/>
      <c r="C178" s="97" t="str">
        <f t="shared" si="6"/>
        <v/>
      </c>
      <c r="D178" s="98"/>
      <c r="E178" s="99"/>
      <c r="F178" s="97" t="str">
        <f t="shared" si="7"/>
        <v/>
      </c>
      <c r="G178" s="98"/>
      <c r="H178" s="99"/>
      <c r="I178" s="97" t="str">
        <f t="shared" si="8"/>
        <v/>
      </c>
    </row>
    <row r="179" spans="1:9" s="97" customFormat="1" ht="17">
      <c r="A179" s="95"/>
      <c r="B179" s="96"/>
      <c r="C179" s="97" t="str">
        <f t="shared" si="6"/>
        <v/>
      </c>
      <c r="D179" s="98"/>
      <c r="E179" s="99"/>
      <c r="F179" s="97" t="str">
        <f t="shared" si="7"/>
        <v/>
      </c>
      <c r="G179" s="98"/>
      <c r="H179" s="99"/>
      <c r="I179" s="97" t="str">
        <f t="shared" si="8"/>
        <v/>
      </c>
    </row>
    <row r="180" spans="1:9" s="97" customFormat="1" ht="17">
      <c r="A180" s="95"/>
      <c r="B180" s="96"/>
      <c r="C180" s="97" t="str">
        <f t="shared" si="6"/>
        <v/>
      </c>
      <c r="D180" s="98"/>
      <c r="E180" s="99"/>
      <c r="F180" s="97" t="str">
        <f t="shared" si="7"/>
        <v/>
      </c>
      <c r="G180" s="98"/>
      <c r="H180" s="99"/>
      <c r="I180" s="97" t="str">
        <f t="shared" si="8"/>
        <v/>
      </c>
    </row>
    <row r="181" spans="1:9" s="97" customFormat="1" ht="17">
      <c r="A181" s="95"/>
      <c r="B181" s="96"/>
      <c r="C181" s="97" t="str">
        <f t="shared" si="6"/>
        <v/>
      </c>
      <c r="D181" s="98"/>
      <c r="E181" s="99"/>
      <c r="F181" s="97" t="str">
        <f t="shared" si="7"/>
        <v/>
      </c>
      <c r="G181" s="98"/>
      <c r="H181" s="99"/>
      <c r="I181" s="97" t="str">
        <f t="shared" si="8"/>
        <v/>
      </c>
    </row>
    <row r="182" spans="1:9" s="97" customFormat="1" ht="17">
      <c r="A182" s="95"/>
      <c r="B182" s="96"/>
      <c r="C182" s="97" t="str">
        <f t="shared" si="6"/>
        <v/>
      </c>
      <c r="D182" s="98"/>
      <c r="E182" s="99"/>
      <c r="F182" s="97" t="str">
        <f t="shared" si="7"/>
        <v/>
      </c>
      <c r="G182" s="98"/>
      <c r="H182" s="99"/>
      <c r="I182" s="97" t="str">
        <f t="shared" si="8"/>
        <v/>
      </c>
    </row>
    <row r="183" spans="1:9" s="97" customFormat="1" ht="17">
      <c r="A183" s="95"/>
      <c r="B183" s="96"/>
      <c r="C183" s="97" t="str">
        <f t="shared" si="6"/>
        <v/>
      </c>
      <c r="D183" s="98"/>
      <c r="E183" s="99"/>
      <c r="F183" s="97" t="str">
        <f t="shared" si="7"/>
        <v/>
      </c>
      <c r="G183" s="98"/>
      <c r="H183" s="99"/>
      <c r="I183" s="97" t="str">
        <f t="shared" si="8"/>
        <v/>
      </c>
    </row>
    <row r="184" spans="1:9" s="97" customFormat="1" ht="17">
      <c r="A184" s="95"/>
      <c r="B184" s="96"/>
      <c r="C184" s="97" t="str">
        <f t="shared" si="6"/>
        <v/>
      </c>
      <c r="D184" s="98"/>
      <c r="E184" s="99"/>
      <c r="F184" s="97" t="str">
        <f t="shared" si="7"/>
        <v/>
      </c>
      <c r="G184" s="98"/>
      <c r="H184" s="99"/>
      <c r="I184" s="97" t="str">
        <f t="shared" si="8"/>
        <v/>
      </c>
    </row>
    <row r="185" spans="1:9" s="97" customFormat="1" ht="17">
      <c r="A185" s="95"/>
      <c r="B185" s="96"/>
      <c r="C185" s="97" t="str">
        <f t="shared" si="6"/>
        <v/>
      </c>
      <c r="D185" s="98"/>
      <c r="E185" s="99"/>
      <c r="F185" s="97" t="str">
        <f t="shared" si="7"/>
        <v/>
      </c>
      <c r="G185" s="98"/>
      <c r="H185" s="99"/>
      <c r="I185" s="97" t="str">
        <f t="shared" si="8"/>
        <v/>
      </c>
    </row>
    <row r="186" spans="1:9" s="97" customFormat="1" ht="17">
      <c r="A186" s="95"/>
      <c r="B186" s="96"/>
      <c r="C186" s="97" t="str">
        <f t="shared" si="6"/>
        <v/>
      </c>
      <c r="D186" s="98"/>
      <c r="E186" s="99"/>
      <c r="F186" s="97" t="str">
        <f t="shared" si="7"/>
        <v/>
      </c>
      <c r="G186" s="98"/>
      <c r="H186" s="99"/>
      <c r="I186" s="97" t="str">
        <f t="shared" si="8"/>
        <v/>
      </c>
    </row>
    <row r="187" spans="1:9" s="97" customFormat="1" ht="17">
      <c r="A187" s="95"/>
      <c r="B187" s="96"/>
      <c r="C187" s="97" t="str">
        <f t="shared" si="6"/>
        <v/>
      </c>
      <c r="D187" s="98"/>
      <c r="E187" s="99"/>
      <c r="F187" s="97" t="str">
        <f t="shared" si="7"/>
        <v/>
      </c>
      <c r="G187" s="98"/>
      <c r="H187" s="99"/>
      <c r="I187" s="97" t="str">
        <f t="shared" si="8"/>
        <v/>
      </c>
    </row>
    <row r="188" spans="1:9" s="97" customFormat="1" ht="17">
      <c r="A188" s="95"/>
      <c r="B188" s="96"/>
      <c r="C188" s="97" t="str">
        <f t="shared" si="6"/>
        <v/>
      </c>
      <c r="D188" s="98"/>
      <c r="E188" s="99"/>
      <c r="F188" s="97" t="str">
        <f t="shared" si="7"/>
        <v/>
      </c>
      <c r="G188" s="98"/>
      <c r="H188" s="99"/>
      <c r="I188" s="97" t="str">
        <f t="shared" si="8"/>
        <v/>
      </c>
    </row>
    <row r="189" spans="1:9" s="97" customFormat="1" ht="17">
      <c r="A189" s="95"/>
      <c r="B189" s="96"/>
      <c r="C189" s="97" t="str">
        <f t="shared" si="6"/>
        <v/>
      </c>
      <c r="D189" s="98"/>
      <c r="E189" s="99"/>
      <c r="F189" s="97" t="str">
        <f t="shared" si="7"/>
        <v/>
      </c>
      <c r="G189" s="98"/>
      <c r="H189" s="99"/>
      <c r="I189" s="97" t="str">
        <f t="shared" si="8"/>
        <v/>
      </c>
    </row>
    <row r="190" spans="1:9" s="97" customFormat="1" ht="17">
      <c r="A190" s="95"/>
      <c r="B190" s="96"/>
      <c r="C190" s="97" t="str">
        <f t="shared" si="6"/>
        <v/>
      </c>
      <c r="D190" s="98"/>
      <c r="E190" s="99"/>
      <c r="F190" s="97" t="str">
        <f t="shared" si="7"/>
        <v/>
      </c>
      <c r="G190" s="98"/>
      <c r="H190" s="99"/>
      <c r="I190" s="97" t="str">
        <f t="shared" si="8"/>
        <v/>
      </c>
    </row>
    <row r="191" spans="1:9" s="97" customFormat="1" ht="17">
      <c r="A191" s="95"/>
      <c r="B191" s="96"/>
      <c r="C191" s="97" t="str">
        <f t="shared" si="6"/>
        <v/>
      </c>
      <c r="D191" s="98"/>
      <c r="E191" s="99"/>
      <c r="F191" s="97" t="str">
        <f t="shared" si="7"/>
        <v/>
      </c>
      <c r="G191" s="98"/>
      <c r="H191" s="99"/>
      <c r="I191" s="97" t="str">
        <f t="shared" si="8"/>
        <v/>
      </c>
    </row>
    <row r="192" spans="1:9" s="97" customFormat="1" ht="17">
      <c r="A192" s="95"/>
      <c r="B192" s="96"/>
      <c r="C192" s="97" t="str">
        <f t="shared" si="6"/>
        <v/>
      </c>
      <c r="D192" s="98"/>
      <c r="E192" s="99"/>
      <c r="F192" s="97" t="str">
        <f t="shared" si="7"/>
        <v/>
      </c>
      <c r="G192" s="98"/>
      <c r="H192" s="99"/>
      <c r="I192" s="97" t="str">
        <f t="shared" si="8"/>
        <v/>
      </c>
    </row>
    <row r="193" spans="1:9" s="97" customFormat="1" ht="17">
      <c r="A193" s="95"/>
      <c r="B193" s="96"/>
      <c r="C193" s="97" t="str">
        <f t="shared" si="6"/>
        <v/>
      </c>
      <c r="D193" s="98"/>
      <c r="E193" s="99"/>
      <c r="F193" s="97" t="str">
        <f t="shared" si="7"/>
        <v/>
      </c>
      <c r="G193" s="98"/>
      <c r="H193" s="99"/>
      <c r="I193" s="97" t="str">
        <f t="shared" si="8"/>
        <v/>
      </c>
    </row>
    <row r="194" spans="1:9" s="97" customFormat="1" ht="17">
      <c r="A194" s="95"/>
      <c r="B194" s="96"/>
      <c r="C194" s="97" t="str">
        <f t="shared" si="6"/>
        <v/>
      </c>
      <c r="D194" s="98"/>
      <c r="E194" s="99"/>
      <c r="F194" s="97" t="str">
        <f t="shared" si="7"/>
        <v/>
      </c>
      <c r="G194" s="98"/>
      <c r="H194" s="99"/>
      <c r="I194" s="97" t="str">
        <f t="shared" si="8"/>
        <v/>
      </c>
    </row>
    <row r="195" spans="1:9" s="97" customFormat="1" ht="17">
      <c r="A195" s="95"/>
      <c r="B195" s="96"/>
      <c r="C195" s="97" t="str">
        <f t="shared" si="6"/>
        <v/>
      </c>
      <c r="D195" s="98"/>
      <c r="E195" s="99"/>
      <c r="F195" s="97" t="str">
        <f t="shared" si="7"/>
        <v/>
      </c>
      <c r="G195" s="98"/>
      <c r="H195" s="99"/>
      <c r="I195" s="97" t="str">
        <f t="shared" si="8"/>
        <v/>
      </c>
    </row>
    <row r="196" spans="1:9" s="97" customFormat="1" ht="17">
      <c r="A196" s="95"/>
      <c r="B196" s="96"/>
      <c r="C196" s="97" t="str">
        <f t="shared" si="6"/>
        <v/>
      </c>
      <c r="D196" s="98"/>
      <c r="E196" s="99"/>
      <c r="F196" s="97" t="str">
        <f t="shared" si="7"/>
        <v/>
      </c>
      <c r="G196" s="98"/>
      <c r="H196" s="99"/>
      <c r="I196" s="97" t="str">
        <f t="shared" si="8"/>
        <v/>
      </c>
    </row>
    <row r="197" spans="1:9" s="97" customFormat="1" ht="17">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
      <c r="A198" s="95"/>
      <c r="B198" s="96"/>
      <c r="C198" s="97" t="str">
        <f t="shared" si="9"/>
        <v/>
      </c>
      <c r="D198" s="98"/>
      <c r="E198" s="99"/>
      <c r="F198" s="97" t="str">
        <f t="shared" si="10"/>
        <v/>
      </c>
      <c r="G198" s="98"/>
      <c r="H198" s="99"/>
      <c r="I198" s="97" t="str">
        <f t="shared" si="11"/>
        <v/>
      </c>
    </row>
    <row r="199" spans="1:9" s="97" customFormat="1" ht="17">
      <c r="A199" s="95"/>
      <c r="B199" s="96"/>
      <c r="C199" s="97" t="str">
        <f t="shared" si="9"/>
        <v/>
      </c>
      <c r="D199" s="98"/>
      <c r="E199" s="99"/>
      <c r="F199" s="97" t="str">
        <f t="shared" si="10"/>
        <v/>
      </c>
      <c r="G199" s="98"/>
      <c r="H199" s="99"/>
      <c r="I199" s="97" t="str">
        <f t="shared" si="11"/>
        <v/>
      </c>
    </row>
    <row r="200" spans="1:9" s="97" customFormat="1" ht="17">
      <c r="A200" s="95"/>
      <c r="B200" s="96"/>
      <c r="C200" s="97" t="str">
        <f t="shared" si="9"/>
        <v/>
      </c>
      <c r="D200" s="98"/>
      <c r="E200" s="99"/>
      <c r="F200" s="97" t="str">
        <f t="shared" si="10"/>
        <v/>
      </c>
      <c r="G200" s="98"/>
      <c r="H200" s="99"/>
      <c r="I200" s="97" t="str">
        <f t="shared" si="11"/>
        <v/>
      </c>
    </row>
    <row r="201" spans="1:9" s="97" customFormat="1" ht="17">
      <c r="A201" s="95"/>
      <c r="B201" s="96"/>
      <c r="C201" s="97" t="str">
        <f t="shared" si="9"/>
        <v/>
      </c>
      <c r="D201" s="98"/>
      <c r="E201" s="99"/>
      <c r="F201" s="97" t="str">
        <f t="shared" si="10"/>
        <v/>
      </c>
      <c r="G201" s="98"/>
      <c r="H201" s="99"/>
      <c r="I201" s="97" t="str">
        <f t="shared" si="11"/>
        <v/>
      </c>
    </row>
    <row r="202" spans="1:9" s="97" customFormat="1" ht="17">
      <c r="A202" s="95"/>
      <c r="B202" s="96"/>
      <c r="C202" s="97" t="str">
        <f t="shared" si="9"/>
        <v/>
      </c>
      <c r="D202" s="98"/>
      <c r="E202" s="99"/>
      <c r="F202" s="97" t="str">
        <f t="shared" si="10"/>
        <v/>
      </c>
      <c r="G202" s="98"/>
      <c r="H202" s="99"/>
      <c r="I202" s="97" t="str">
        <f t="shared" si="11"/>
        <v/>
      </c>
    </row>
    <row r="203" spans="1:9" s="97" customFormat="1" ht="17">
      <c r="A203" s="95"/>
      <c r="B203" s="96"/>
      <c r="C203" s="97" t="str">
        <f t="shared" si="9"/>
        <v/>
      </c>
      <c r="D203" s="98"/>
      <c r="E203" s="99"/>
      <c r="F203" s="97" t="str">
        <f t="shared" si="10"/>
        <v/>
      </c>
      <c r="G203" s="98"/>
      <c r="H203" s="99"/>
      <c r="I203" s="97" t="str">
        <f t="shared" si="11"/>
        <v/>
      </c>
    </row>
    <row r="204" spans="1:9" s="97" customFormat="1" ht="17">
      <c r="A204" s="95"/>
      <c r="B204" s="96"/>
      <c r="C204" s="97" t="str">
        <f t="shared" si="9"/>
        <v/>
      </c>
      <c r="D204" s="98"/>
      <c r="E204" s="99"/>
      <c r="F204" s="97" t="str">
        <f t="shared" si="10"/>
        <v/>
      </c>
      <c r="G204" s="98"/>
      <c r="H204" s="99"/>
      <c r="I204" s="97" t="str">
        <f t="shared" si="11"/>
        <v/>
      </c>
    </row>
    <row r="205" spans="1:9" s="97" customFormat="1" ht="17">
      <c r="A205" s="95"/>
      <c r="B205" s="96"/>
      <c r="C205" s="97" t="str">
        <f t="shared" si="9"/>
        <v/>
      </c>
      <c r="D205" s="98"/>
      <c r="E205" s="99"/>
      <c r="F205" s="97" t="str">
        <f t="shared" si="10"/>
        <v/>
      </c>
      <c r="G205" s="98"/>
      <c r="H205" s="99"/>
      <c r="I205" s="97" t="str">
        <f t="shared" si="11"/>
        <v/>
      </c>
    </row>
    <row r="206" spans="1:9" s="97" customFormat="1" ht="17">
      <c r="A206" s="95"/>
      <c r="B206" s="96"/>
      <c r="C206" s="97" t="str">
        <f t="shared" si="9"/>
        <v/>
      </c>
      <c r="D206" s="98"/>
      <c r="E206" s="99"/>
      <c r="F206" s="97" t="str">
        <f t="shared" si="10"/>
        <v/>
      </c>
      <c r="G206" s="98"/>
      <c r="H206" s="99"/>
      <c r="I206" s="97" t="str">
        <f t="shared" si="11"/>
        <v/>
      </c>
    </row>
    <row r="207" spans="1:9" s="97" customFormat="1" ht="17">
      <c r="A207" s="95"/>
      <c r="B207" s="96"/>
      <c r="C207" s="97" t="str">
        <f t="shared" si="9"/>
        <v/>
      </c>
      <c r="D207" s="98"/>
      <c r="E207" s="99"/>
      <c r="F207" s="97" t="str">
        <f t="shared" si="10"/>
        <v/>
      </c>
      <c r="G207" s="98"/>
      <c r="H207" s="99"/>
      <c r="I207" s="97" t="str">
        <f t="shared" si="11"/>
        <v/>
      </c>
    </row>
    <row r="208" spans="1:9" s="97" customFormat="1" ht="17">
      <c r="A208" s="95"/>
      <c r="B208" s="96"/>
      <c r="C208" s="97" t="str">
        <f t="shared" si="9"/>
        <v/>
      </c>
      <c r="D208" s="98"/>
      <c r="E208" s="99"/>
      <c r="F208" s="97" t="str">
        <f t="shared" si="10"/>
        <v/>
      </c>
      <c r="G208" s="98"/>
      <c r="H208" s="99"/>
      <c r="I208" s="97" t="str">
        <f t="shared" si="11"/>
        <v/>
      </c>
    </row>
    <row r="209" spans="1:9" s="97" customFormat="1" ht="17">
      <c r="A209" s="95"/>
      <c r="B209" s="96"/>
      <c r="C209" s="97" t="str">
        <f t="shared" si="9"/>
        <v/>
      </c>
      <c r="D209" s="98"/>
      <c r="E209" s="99"/>
      <c r="F209" s="97" t="str">
        <f t="shared" si="10"/>
        <v/>
      </c>
      <c r="G209" s="98"/>
      <c r="H209" s="99"/>
      <c r="I209" s="97" t="str">
        <f t="shared" si="11"/>
        <v/>
      </c>
    </row>
    <row r="210" spans="1:9" s="97" customFormat="1" ht="17">
      <c r="A210" s="95"/>
      <c r="B210" s="96"/>
      <c r="C210" s="97" t="str">
        <f t="shared" si="9"/>
        <v/>
      </c>
      <c r="D210" s="98"/>
      <c r="E210" s="99"/>
      <c r="F210" s="97" t="str">
        <f t="shared" si="10"/>
        <v/>
      </c>
      <c r="G210" s="98"/>
      <c r="H210" s="99"/>
      <c r="I210" s="97" t="str">
        <f t="shared" si="11"/>
        <v/>
      </c>
    </row>
    <row r="211" spans="1:9" s="97" customFormat="1" ht="17">
      <c r="A211" s="95"/>
      <c r="B211" s="96"/>
      <c r="C211" s="97" t="str">
        <f t="shared" si="9"/>
        <v/>
      </c>
      <c r="D211" s="98"/>
      <c r="E211" s="99"/>
      <c r="F211" s="97" t="str">
        <f t="shared" si="10"/>
        <v/>
      </c>
      <c r="G211" s="98"/>
      <c r="H211" s="99"/>
      <c r="I211" s="97" t="str">
        <f t="shared" si="11"/>
        <v/>
      </c>
    </row>
    <row r="212" spans="1:9" s="97" customFormat="1" ht="17">
      <c r="A212" s="95"/>
      <c r="B212" s="96"/>
      <c r="C212" s="97" t="str">
        <f t="shared" si="9"/>
        <v/>
      </c>
      <c r="D212" s="98"/>
      <c r="E212" s="99"/>
      <c r="F212" s="97" t="str">
        <f t="shared" si="10"/>
        <v/>
      </c>
      <c r="G212" s="98"/>
      <c r="H212" s="99"/>
      <c r="I212" s="97" t="str">
        <f t="shared" si="11"/>
        <v/>
      </c>
    </row>
    <row r="213" spans="1:9" s="97" customFormat="1" ht="17">
      <c r="A213" s="95"/>
      <c r="B213" s="96"/>
      <c r="C213" s="97" t="str">
        <f t="shared" si="9"/>
        <v/>
      </c>
      <c r="D213" s="98"/>
      <c r="E213" s="99"/>
      <c r="F213" s="97" t="str">
        <f t="shared" si="10"/>
        <v/>
      </c>
      <c r="G213" s="98"/>
      <c r="H213" s="99"/>
      <c r="I213" s="97" t="str">
        <f t="shared" si="11"/>
        <v/>
      </c>
    </row>
    <row r="214" spans="1:9" s="97" customFormat="1" ht="17">
      <c r="A214" s="95"/>
      <c r="B214" s="96"/>
      <c r="C214" s="97" t="str">
        <f t="shared" si="9"/>
        <v/>
      </c>
      <c r="D214" s="98"/>
      <c r="E214" s="99"/>
      <c r="F214" s="97" t="str">
        <f t="shared" si="10"/>
        <v/>
      </c>
      <c r="G214" s="98"/>
      <c r="H214" s="99"/>
      <c r="I214" s="97" t="str">
        <f t="shared" si="11"/>
        <v/>
      </c>
    </row>
    <row r="215" spans="1:9" s="97" customFormat="1" ht="17">
      <c r="A215" s="95"/>
      <c r="B215" s="96"/>
      <c r="C215" s="97" t="str">
        <f t="shared" si="9"/>
        <v/>
      </c>
      <c r="D215" s="98"/>
      <c r="E215" s="99"/>
      <c r="F215" s="97" t="str">
        <f t="shared" si="10"/>
        <v/>
      </c>
      <c r="G215" s="98"/>
      <c r="H215" s="99"/>
      <c r="I215" s="97" t="str">
        <f t="shared" si="11"/>
        <v/>
      </c>
    </row>
    <row r="216" spans="1:9" s="97" customFormat="1" ht="17">
      <c r="A216" s="95"/>
      <c r="B216" s="96"/>
      <c r="C216" s="97" t="str">
        <f t="shared" si="9"/>
        <v/>
      </c>
      <c r="D216" s="98"/>
      <c r="E216" s="99"/>
      <c r="F216" s="97" t="str">
        <f t="shared" si="10"/>
        <v/>
      </c>
      <c r="G216" s="98"/>
      <c r="H216" s="99"/>
      <c r="I216" s="97" t="str">
        <f t="shared" si="11"/>
        <v/>
      </c>
    </row>
    <row r="217" spans="1:9" s="97" customFormat="1" ht="17">
      <c r="A217" s="95"/>
      <c r="B217" s="96"/>
      <c r="C217" s="97" t="str">
        <f t="shared" si="9"/>
        <v/>
      </c>
      <c r="D217" s="98"/>
      <c r="E217" s="99"/>
      <c r="F217" s="97" t="str">
        <f t="shared" si="10"/>
        <v/>
      </c>
      <c r="G217" s="98"/>
      <c r="H217" s="99"/>
      <c r="I217" s="97" t="str">
        <f t="shared" si="11"/>
        <v/>
      </c>
    </row>
    <row r="218" spans="1:9" s="97" customFormat="1" ht="17">
      <c r="A218" s="95"/>
      <c r="B218" s="96"/>
      <c r="C218" s="97" t="str">
        <f t="shared" si="9"/>
        <v/>
      </c>
      <c r="D218" s="98"/>
      <c r="E218" s="99"/>
      <c r="F218" s="97" t="str">
        <f t="shared" si="10"/>
        <v/>
      </c>
      <c r="G218" s="98"/>
      <c r="H218" s="99"/>
      <c r="I218" s="97" t="str">
        <f t="shared" si="11"/>
        <v/>
      </c>
    </row>
    <row r="219" spans="1:9" s="97" customFormat="1" ht="17">
      <c r="A219" s="95"/>
      <c r="B219" s="96"/>
      <c r="C219" s="97" t="str">
        <f t="shared" si="9"/>
        <v/>
      </c>
      <c r="D219" s="98"/>
      <c r="E219" s="99"/>
      <c r="F219" s="97" t="str">
        <f t="shared" si="10"/>
        <v/>
      </c>
      <c r="G219" s="98"/>
      <c r="H219" s="99"/>
      <c r="I219" s="97" t="str">
        <f t="shared" si="11"/>
        <v/>
      </c>
    </row>
    <row r="220" spans="1:9" s="97" customFormat="1" ht="17">
      <c r="A220" s="95"/>
      <c r="B220" s="96"/>
      <c r="C220" s="97" t="str">
        <f t="shared" si="9"/>
        <v/>
      </c>
      <c r="D220" s="98"/>
      <c r="E220" s="99"/>
      <c r="F220" s="97" t="str">
        <f t="shared" si="10"/>
        <v/>
      </c>
      <c r="G220" s="98"/>
      <c r="H220" s="99"/>
      <c r="I220" s="97" t="str">
        <f t="shared" si="11"/>
        <v/>
      </c>
    </row>
    <row r="221" spans="1:9" s="97" customFormat="1" ht="17">
      <c r="A221" s="95"/>
      <c r="B221" s="96"/>
      <c r="C221" s="97" t="str">
        <f t="shared" si="9"/>
        <v/>
      </c>
      <c r="D221" s="98"/>
      <c r="E221" s="99"/>
      <c r="F221" s="97" t="str">
        <f t="shared" si="10"/>
        <v/>
      </c>
      <c r="G221" s="98"/>
      <c r="H221" s="99"/>
      <c r="I221" s="97" t="str">
        <f t="shared" si="11"/>
        <v/>
      </c>
    </row>
    <row r="222" spans="1:9" s="97" customFormat="1" ht="17">
      <c r="A222" s="95"/>
      <c r="B222" s="96"/>
      <c r="C222" s="97" t="str">
        <f t="shared" si="9"/>
        <v/>
      </c>
      <c r="D222" s="98"/>
      <c r="E222" s="99"/>
      <c r="F222" s="97" t="str">
        <f t="shared" si="10"/>
        <v/>
      </c>
      <c r="G222" s="98"/>
      <c r="H222" s="99"/>
      <c r="I222" s="97" t="str">
        <f t="shared" si="11"/>
        <v/>
      </c>
    </row>
    <row r="223" spans="1:9" s="97" customFormat="1" ht="17">
      <c r="A223" s="95"/>
      <c r="B223" s="96"/>
      <c r="C223" s="97" t="str">
        <f t="shared" si="9"/>
        <v/>
      </c>
      <c r="D223" s="98"/>
      <c r="E223" s="99"/>
      <c r="F223" s="97" t="str">
        <f t="shared" si="10"/>
        <v/>
      </c>
      <c r="G223" s="98"/>
      <c r="H223" s="99"/>
      <c r="I223" s="97" t="str">
        <f t="shared" si="11"/>
        <v/>
      </c>
    </row>
    <row r="224" spans="1:9" s="97" customFormat="1" ht="17">
      <c r="A224" s="95"/>
      <c r="B224" s="96"/>
      <c r="C224" s="97" t="str">
        <f t="shared" si="9"/>
        <v/>
      </c>
      <c r="D224" s="98"/>
      <c r="E224" s="99"/>
      <c r="F224" s="97" t="str">
        <f t="shared" si="10"/>
        <v/>
      </c>
      <c r="G224" s="98"/>
      <c r="H224" s="99"/>
      <c r="I224" s="97" t="str">
        <f t="shared" si="11"/>
        <v/>
      </c>
    </row>
    <row r="225" spans="1:9" s="97" customFormat="1" ht="17">
      <c r="A225" s="95"/>
      <c r="B225" s="96"/>
      <c r="C225" s="97" t="str">
        <f t="shared" si="9"/>
        <v/>
      </c>
      <c r="D225" s="98"/>
      <c r="E225" s="99"/>
      <c r="F225" s="97" t="str">
        <f t="shared" si="10"/>
        <v/>
      </c>
      <c r="G225" s="98"/>
      <c r="H225" s="99"/>
      <c r="I225" s="97" t="str">
        <f t="shared" si="11"/>
        <v/>
      </c>
    </row>
    <row r="226" spans="1:9" s="97" customFormat="1" ht="17">
      <c r="A226" s="95"/>
      <c r="B226" s="96"/>
      <c r="C226" s="97" t="str">
        <f t="shared" si="9"/>
        <v/>
      </c>
      <c r="D226" s="98"/>
      <c r="E226" s="99"/>
      <c r="F226" s="97" t="str">
        <f t="shared" si="10"/>
        <v/>
      </c>
      <c r="G226" s="98"/>
      <c r="H226" s="99"/>
      <c r="I226" s="97" t="str">
        <f t="shared" si="11"/>
        <v/>
      </c>
    </row>
    <row r="227" spans="1:9" s="97" customFormat="1" ht="17">
      <c r="A227" s="95"/>
      <c r="B227" s="96"/>
      <c r="C227" s="97" t="str">
        <f t="shared" si="9"/>
        <v/>
      </c>
      <c r="D227" s="98"/>
      <c r="E227" s="99"/>
      <c r="F227" s="97" t="str">
        <f t="shared" si="10"/>
        <v/>
      </c>
      <c r="G227" s="98"/>
      <c r="H227" s="99"/>
      <c r="I227" s="97" t="str">
        <f t="shared" si="11"/>
        <v/>
      </c>
    </row>
    <row r="228" spans="1:9" s="97" customFormat="1" ht="17">
      <c r="A228" s="95"/>
      <c r="B228" s="96"/>
      <c r="C228" s="97" t="str">
        <f t="shared" si="9"/>
        <v/>
      </c>
      <c r="D228" s="98"/>
      <c r="E228" s="99"/>
      <c r="F228" s="97" t="str">
        <f t="shared" si="10"/>
        <v/>
      </c>
      <c r="G228" s="98"/>
      <c r="H228" s="99"/>
      <c r="I228" s="97" t="str">
        <f t="shared" si="11"/>
        <v/>
      </c>
    </row>
    <row r="229" spans="1:9" s="97" customFormat="1" ht="17">
      <c r="A229" s="95"/>
      <c r="B229" s="96"/>
      <c r="C229" s="97" t="str">
        <f t="shared" si="9"/>
        <v/>
      </c>
      <c r="D229" s="98"/>
      <c r="E229" s="99"/>
      <c r="F229" s="97" t="str">
        <f t="shared" si="10"/>
        <v/>
      </c>
      <c r="G229" s="98"/>
      <c r="H229" s="99"/>
      <c r="I229" s="97" t="str">
        <f t="shared" si="11"/>
        <v/>
      </c>
    </row>
    <row r="230" spans="1:9" s="97" customFormat="1" ht="17">
      <c r="A230" s="95"/>
      <c r="B230" s="96"/>
      <c r="C230" s="97" t="str">
        <f t="shared" si="9"/>
        <v/>
      </c>
      <c r="D230" s="98"/>
      <c r="E230" s="99"/>
      <c r="F230" s="97" t="str">
        <f t="shared" si="10"/>
        <v/>
      </c>
      <c r="G230" s="98"/>
      <c r="H230" s="99"/>
      <c r="I230" s="97" t="str">
        <f t="shared" si="11"/>
        <v/>
      </c>
    </row>
    <row r="231" spans="1:9" s="97" customFormat="1" ht="17">
      <c r="A231" s="95"/>
      <c r="B231" s="96"/>
      <c r="C231" s="97" t="str">
        <f t="shared" si="9"/>
        <v/>
      </c>
      <c r="D231" s="98"/>
      <c r="E231" s="99"/>
      <c r="F231" s="97" t="str">
        <f t="shared" si="10"/>
        <v/>
      </c>
      <c r="G231" s="98"/>
      <c r="H231" s="99"/>
      <c r="I231" s="97" t="str">
        <f t="shared" si="11"/>
        <v/>
      </c>
    </row>
    <row r="232" spans="1:9" s="97" customFormat="1" ht="17">
      <c r="A232" s="95"/>
      <c r="B232" s="96"/>
      <c r="C232" s="97" t="str">
        <f t="shared" si="9"/>
        <v/>
      </c>
      <c r="D232" s="98"/>
      <c r="E232" s="99"/>
      <c r="F232" s="97" t="str">
        <f t="shared" si="10"/>
        <v/>
      </c>
      <c r="G232" s="98"/>
      <c r="H232" s="99"/>
      <c r="I232" s="97" t="str">
        <f t="shared" si="11"/>
        <v/>
      </c>
    </row>
    <row r="233" spans="1:9" s="97" customFormat="1" ht="17">
      <c r="A233" s="95"/>
      <c r="B233" s="96"/>
      <c r="C233" s="97" t="str">
        <f t="shared" si="9"/>
        <v/>
      </c>
      <c r="D233" s="98"/>
      <c r="E233" s="99"/>
      <c r="F233" s="97" t="str">
        <f t="shared" si="10"/>
        <v/>
      </c>
      <c r="G233" s="98"/>
      <c r="H233" s="99"/>
      <c r="I233" s="97" t="str">
        <f t="shared" si="11"/>
        <v/>
      </c>
    </row>
    <row r="234" spans="1:9" s="97" customFormat="1" ht="17">
      <c r="A234" s="95"/>
      <c r="B234" s="96"/>
      <c r="C234" s="97" t="str">
        <f t="shared" si="9"/>
        <v/>
      </c>
      <c r="D234" s="98"/>
      <c r="E234" s="99"/>
      <c r="F234" s="97" t="str">
        <f t="shared" si="10"/>
        <v/>
      </c>
      <c r="G234" s="98"/>
      <c r="H234" s="99"/>
      <c r="I234" s="97" t="str">
        <f t="shared" si="11"/>
        <v/>
      </c>
    </row>
    <row r="235" spans="1:9" s="97" customFormat="1" ht="17">
      <c r="A235" s="95"/>
      <c r="B235" s="96"/>
      <c r="C235" s="97" t="str">
        <f t="shared" si="9"/>
        <v/>
      </c>
      <c r="D235" s="98"/>
      <c r="E235" s="99"/>
      <c r="F235" s="97" t="str">
        <f t="shared" si="10"/>
        <v/>
      </c>
      <c r="G235" s="98"/>
      <c r="H235" s="99"/>
      <c r="I235" s="97" t="str">
        <f t="shared" si="11"/>
        <v/>
      </c>
    </row>
    <row r="236" spans="1:9" s="97" customFormat="1" ht="17">
      <c r="A236" s="95"/>
      <c r="B236" s="96"/>
      <c r="C236" s="97" t="str">
        <f t="shared" si="9"/>
        <v/>
      </c>
      <c r="D236" s="98"/>
      <c r="E236" s="99"/>
      <c r="F236" s="97" t="str">
        <f t="shared" si="10"/>
        <v/>
      </c>
      <c r="G236" s="98"/>
      <c r="H236" s="99"/>
      <c r="I236" s="97" t="str">
        <f t="shared" si="11"/>
        <v/>
      </c>
    </row>
    <row r="237" spans="1:9" s="97" customFormat="1" ht="17">
      <c r="A237" s="95"/>
      <c r="B237" s="96"/>
      <c r="C237" s="97" t="str">
        <f t="shared" si="9"/>
        <v/>
      </c>
      <c r="D237" s="98"/>
      <c r="E237" s="99"/>
      <c r="F237" s="97" t="str">
        <f t="shared" si="10"/>
        <v/>
      </c>
      <c r="G237" s="98"/>
      <c r="H237" s="99"/>
      <c r="I237" s="97" t="str">
        <f t="shared" si="11"/>
        <v/>
      </c>
    </row>
    <row r="238" spans="1:9" s="97" customFormat="1" ht="17">
      <c r="A238" s="95"/>
      <c r="B238" s="96"/>
      <c r="C238" s="97" t="str">
        <f t="shared" si="9"/>
        <v/>
      </c>
      <c r="D238" s="98"/>
      <c r="E238" s="99"/>
      <c r="F238" s="97" t="str">
        <f t="shared" si="10"/>
        <v/>
      </c>
      <c r="G238" s="98"/>
      <c r="H238" s="99"/>
      <c r="I238" s="97" t="str">
        <f t="shared" si="11"/>
        <v/>
      </c>
    </row>
    <row r="239" spans="1:9" s="97" customFormat="1" ht="17">
      <c r="A239" s="95"/>
      <c r="B239" s="96"/>
      <c r="C239" s="97" t="str">
        <f t="shared" si="9"/>
        <v/>
      </c>
      <c r="D239" s="98"/>
      <c r="E239" s="99"/>
      <c r="F239" s="97" t="str">
        <f t="shared" si="10"/>
        <v/>
      </c>
      <c r="G239" s="98"/>
      <c r="H239" s="99"/>
      <c r="I239" s="97" t="str">
        <f t="shared" si="11"/>
        <v/>
      </c>
    </row>
    <row r="240" spans="1:9" s="97" customFormat="1" ht="17">
      <c r="A240" s="95"/>
      <c r="B240" s="96"/>
      <c r="C240" s="97" t="str">
        <f t="shared" si="9"/>
        <v/>
      </c>
      <c r="D240" s="98"/>
      <c r="E240" s="99"/>
      <c r="F240" s="97" t="str">
        <f t="shared" si="10"/>
        <v/>
      </c>
      <c r="G240" s="98"/>
      <c r="H240" s="99"/>
      <c r="I240" s="97" t="str">
        <f t="shared" si="11"/>
        <v/>
      </c>
    </row>
    <row r="241" spans="1:9" s="97" customFormat="1" ht="17">
      <c r="A241" s="95"/>
      <c r="B241" s="96"/>
      <c r="C241" s="97" t="str">
        <f t="shared" si="9"/>
        <v/>
      </c>
      <c r="D241" s="98"/>
      <c r="E241" s="99"/>
      <c r="F241" s="97" t="str">
        <f t="shared" si="10"/>
        <v/>
      </c>
      <c r="G241" s="98"/>
      <c r="H241" s="99"/>
      <c r="I241" s="97" t="str">
        <f t="shared" si="11"/>
        <v/>
      </c>
    </row>
    <row r="242" spans="1:9" s="97" customFormat="1" ht="17">
      <c r="A242" s="98"/>
      <c r="B242" s="99"/>
      <c r="C242" s="97" t="str">
        <f t="shared" si="9"/>
        <v/>
      </c>
      <c r="D242" s="98"/>
      <c r="E242" s="99"/>
      <c r="F242" s="97" t="str">
        <f t="shared" si="10"/>
        <v/>
      </c>
      <c r="G242" s="98"/>
      <c r="H242" s="99"/>
      <c r="I242" s="97" t="str">
        <f t="shared" si="11"/>
        <v/>
      </c>
    </row>
    <row r="243" spans="1:9" s="97" customFormat="1" ht="17">
      <c r="A243" s="98"/>
      <c r="B243" s="99"/>
      <c r="C243" s="97" t="str">
        <f t="shared" si="9"/>
        <v/>
      </c>
      <c r="D243" s="98"/>
      <c r="E243" s="99"/>
      <c r="F243" s="97" t="str">
        <f t="shared" si="10"/>
        <v/>
      </c>
      <c r="G243" s="98"/>
      <c r="H243" s="99"/>
      <c r="I243" s="97" t="str">
        <f t="shared" si="11"/>
        <v/>
      </c>
    </row>
    <row r="244" spans="1:9" s="97" customFormat="1" ht="17">
      <c r="A244" s="98"/>
      <c r="B244" s="99"/>
      <c r="C244" s="97" t="str">
        <f t="shared" si="9"/>
        <v/>
      </c>
      <c r="D244" s="98"/>
      <c r="E244" s="99"/>
      <c r="F244" s="97" t="str">
        <f t="shared" si="10"/>
        <v/>
      </c>
      <c r="G244" s="98"/>
      <c r="H244" s="99"/>
      <c r="I244" s="97" t="str">
        <f t="shared" si="11"/>
        <v/>
      </c>
    </row>
    <row r="245" spans="1:9" s="97" customFormat="1" ht="17">
      <c r="A245" s="98"/>
      <c r="B245" s="99"/>
      <c r="C245" s="97" t="str">
        <f t="shared" si="9"/>
        <v/>
      </c>
      <c r="D245" s="98"/>
      <c r="E245" s="99"/>
      <c r="F245" s="97" t="str">
        <f t="shared" si="10"/>
        <v/>
      </c>
      <c r="G245" s="98"/>
      <c r="H245" s="99"/>
      <c r="I245" s="97" t="str">
        <f t="shared" si="11"/>
        <v/>
      </c>
    </row>
    <row r="246" spans="1:9" s="97" customFormat="1" ht="17">
      <c r="A246" s="98"/>
      <c r="B246" s="99"/>
      <c r="C246" s="97" t="str">
        <f t="shared" si="9"/>
        <v/>
      </c>
      <c r="D246" s="98"/>
      <c r="E246" s="99"/>
      <c r="F246" s="97" t="str">
        <f t="shared" si="10"/>
        <v/>
      </c>
      <c r="G246" s="98"/>
      <c r="H246" s="99"/>
      <c r="I246" s="97" t="str">
        <f t="shared" si="11"/>
        <v/>
      </c>
    </row>
    <row r="247" spans="1:9" s="97" customFormat="1" ht="17">
      <c r="A247" s="98"/>
      <c r="B247" s="99"/>
      <c r="C247" s="97" t="str">
        <f t="shared" si="9"/>
        <v/>
      </c>
      <c r="D247" s="98"/>
      <c r="E247" s="99"/>
      <c r="F247" s="97" t="str">
        <f t="shared" si="10"/>
        <v/>
      </c>
      <c r="G247" s="98"/>
      <c r="H247" s="99"/>
      <c r="I247" s="97" t="str">
        <f t="shared" si="11"/>
        <v/>
      </c>
    </row>
    <row r="248" spans="1:9" s="97" customFormat="1" ht="17">
      <c r="A248" s="98"/>
      <c r="B248" s="99"/>
      <c r="C248" s="97" t="str">
        <f t="shared" si="9"/>
        <v/>
      </c>
      <c r="D248" s="98"/>
      <c r="E248" s="99"/>
      <c r="F248" s="97" t="str">
        <f t="shared" si="10"/>
        <v/>
      </c>
      <c r="G248" s="98"/>
      <c r="H248" s="99"/>
      <c r="I248" s="97" t="str">
        <f t="shared" si="11"/>
        <v/>
      </c>
    </row>
    <row r="249" spans="1:9" s="97" customFormat="1" ht="17">
      <c r="A249" s="98"/>
      <c r="B249" s="99"/>
      <c r="C249" s="97" t="str">
        <f t="shared" si="9"/>
        <v/>
      </c>
      <c r="D249" s="98"/>
      <c r="E249" s="99"/>
      <c r="F249" s="97" t="str">
        <f t="shared" si="10"/>
        <v/>
      </c>
      <c r="G249" s="98"/>
      <c r="H249" s="99"/>
      <c r="I249" s="97" t="str">
        <f t="shared" si="11"/>
        <v/>
      </c>
    </row>
    <row r="250" spans="1:9" s="97" customFormat="1" ht="17">
      <c r="A250" s="98"/>
      <c r="B250" s="99"/>
      <c r="C250" s="97" t="str">
        <f t="shared" si="9"/>
        <v/>
      </c>
      <c r="D250" s="98"/>
      <c r="E250" s="99"/>
      <c r="F250" s="97" t="str">
        <f t="shared" si="10"/>
        <v/>
      </c>
      <c r="G250" s="98"/>
      <c r="H250" s="99"/>
      <c r="I250" s="97" t="str">
        <f t="shared" si="11"/>
        <v/>
      </c>
    </row>
    <row r="251" spans="1:9" s="97" customFormat="1" ht="17">
      <c r="A251" s="98"/>
      <c r="B251" s="99"/>
      <c r="C251" s="97" t="str">
        <f t="shared" si="9"/>
        <v/>
      </c>
      <c r="D251" s="98"/>
      <c r="E251" s="99"/>
      <c r="F251" s="97" t="str">
        <f t="shared" si="10"/>
        <v/>
      </c>
      <c r="G251" s="98"/>
      <c r="H251" s="99"/>
      <c r="I251" s="97" t="str">
        <f t="shared" si="11"/>
        <v/>
      </c>
    </row>
    <row r="252" spans="1:9" s="97" customFormat="1" ht="17">
      <c r="A252" s="98"/>
      <c r="B252" s="99"/>
      <c r="C252" s="97" t="str">
        <f t="shared" si="9"/>
        <v/>
      </c>
      <c r="D252" s="98"/>
      <c r="E252" s="99"/>
      <c r="F252" s="97" t="str">
        <f t="shared" si="10"/>
        <v/>
      </c>
      <c r="G252" s="98"/>
      <c r="H252" s="99"/>
      <c r="I252" s="97" t="str">
        <f t="shared" si="11"/>
        <v/>
      </c>
    </row>
    <row r="253" spans="1:9" s="97" customFormat="1" ht="17">
      <c r="A253" s="98"/>
      <c r="B253" s="99"/>
      <c r="C253" s="97" t="str">
        <f t="shared" si="9"/>
        <v/>
      </c>
      <c r="D253" s="98"/>
      <c r="E253" s="99"/>
      <c r="F253" s="97" t="str">
        <f t="shared" si="10"/>
        <v/>
      </c>
      <c r="G253" s="98"/>
      <c r="H253" s="99"/>
      <c r="I253" s="97" t="str">
        <f t="shared" si="11"/>
        <v/>
      </c>
    </row>
    <row r="254" spans="1:9" s="97" customFormat="1" ht="17">
      <c r="A254" s="98"/>
      <c r="B254" s="99"/>
      <c r="C254" s="97" t="str">
        <f t="shared" si="9"/>
        <v/>
      </c>
      <c r="D254" s="98"/>
      <c r="E254" s="99"/>
      <c r="F254" s="97" t="str">
        <f t="shared" si="10"/>
        <v/>
      </c>
      <c r="G254" s="98"/>
      <c r="H254" s="99"/>
      <c r="I254" s="97" t="str">
        <f t="shared" si="11"/>
        <v/>
      </c>
    </row>
    <row r="255" spans="1:9" s="97" customFormat="1" ht="17">
      <c r="A255" s="98"/>
      <c r="B255" s="99"/>
      <c r="C255" s="97" t="str">
        <f t="shared" si="9"/>
        <v/>
      </c>
      <c r="D255" s="98"/>
      <c r="E255" s="99"/>
      <c r="F255" s="97" t="str">
        <f t="shared" si="10"/>
        <v/>
      </c>
      <c r="G255" s="98"/>
      <c r="H255" s="99"/>
      <c r="I255" s="97" t="str">
        <f t="shared" si="11"/>
        <v/>
      </c>
    </row>
    <row r="256" spans="1:9" s="97" customFormat="1" ht="17">
      <c r="A256" s="98"/>
      <c r="B256" s="99"/>
      <c r="C256" s="97" t="str">
        <f t="shared" si="9"/>
        <v/>
      </c>
      <c r="D256" s="98"/>
      <c r="E256" s="99"/>
      <c r="F256" s="97" t="str">
        <f t="shared" si="10"/>
        <v/>
      </c>
      <c r="G256" s="98"/>
      <c r="H256" s="99"/>
      <c r="I256" s="97" t="str">
        <f t="shared" si="11"/>
        <v/>
      </c>
    </row>
    <row r="257" spans="1:9" s="97" customFormat="1" ht="17">
      <c r="A257" s="98"/>
      <c r="B257" s="99"/>
      <c r="C257" s="97" t="str">
        <f t="shared" si="9"/>
        <v/>
      </c>
      <c r="D257" s="98"/>
      <c r="E257" s="99"/>
      <c r="F257" s="97" t="str">
        <f t="shared" si="10"/>
        <v/>
      </c>
      <c r="G257" s="98"/>
      <c r="H257" s="99"/>
      <c r="I257" s="97" t="str">
        <f t="shared" si="11"/>
        <v/>
      </c>
    </row>
    <row r="258" spans="1:9" s="97" customFormat="1" ht="17">
      <c r="A258" s="98"/>
      <c r="B258" s="99"/>
      <c r="C258" s="97" t="str">
        <f t="shared" si="9"/>
        <v/>
      </c>
      <c r="D258" s="98"/>
      <c r="E258" s="99"/>
      <c r="F258" s="97" t="str">
        <f t="shared" si="10"/>
        <v/>
      </c>
      <c r="G258" s="98"/>
      <c r="H258" s="99"/>
      <c r="I258" s="97" t="str">
        <f t="shared" si="11"/>
        <v/>
      </c>
    </row>
    <row r="259" spans="1:9" s="97" customFormat="1" ht="17">
      <c r="A259" s="98"/>
      <c r="B259" s="99"/>
      <c r="C259" s="97" t="str">
        <f t="shared" si="9"/>
        <v/>
      </c>
      <c r="D259" s="98"/>
      <c r="E259" s="99"/>
      <c r="F259" s="97" t="str">
        <f t="shared" si="10"/>
        <v/>
      </c>
      <c r="G259" s="98"/>
      <c r="H259" s="99"/>
      <c r="I259" s="97" t="str">
        <f t="shared" si="11"/>
        <v/>
      </c>
    </row>
    <row r="260" spans="1:9" s="97" customFormat="1" ht="17">
      <c r="A260" s="98"/>
      <c r="B260" s="99"/>
      <c r="C260" s="97" t="str">
        <f t="shared" si="9"/>
        <v/>
      </c>
      <c r="D260" s="98"/>
      <c r="E260" s="99"/>
      <c r="F260" s="97" t="str">
        <f t="shared" si="10"/>
        <v/>
      </c>
      <c r="G260" s="98"/>
      <c r="H260" s="99"/>
      <c r="I260" s="97" t="str">
        <f t="shared" si="11"/>
        <v/>
      </c>
    </row>
    <row r="261" spans="1:9" s="97" customFormat="1" ht="17">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
      <c r="A262" s="98"/>
      <c r="B262" s="99"/>
      <c r="C262" s="97" t="str">
        <f t="shared" si="12"/>
        <v/>
      </c>
      <c r="D262" s="98"/>
      <c r="E262" s="99"/>
      <c r="F262" s="97" t="str">
        <f t="shared" si="13"/>
        <v/>
      </c>
      <c r="G262" s="98"/>
      <c r="H262" s="99"/>
      <c r="I262" s="97" t="str">
        <f t="shared" si="14"/>
        <v/>
      </c>
    </row>
    <row r="263" spans="1:9" s="97" customFormat="1" ht="17">
      <c r="A263" s="98"/>
      <c r="B263" s="99"/>
      <c r="C263" s="97" t="str">
        <f t="shared" si="12"/>
        <v/>
      </c>
      <c r="D263" s="98"/>
      <c r="E263" s="99"/>
      <c r="F263" s="97" t="str">
        <f t="shared" si="13"/>
        <v/>
      </c>
      <c r="G263" s="98"/>
      <c r="H263" s="99"/>
      <c r="I263" s="97" t="str">
        <f t="shared" si="14"/>
        <v/>
      </c>
    </row>
    <row r="264" spans="1:9" s="97" customFormat="1" ht="17">
      <c r="A264" s="98"/>
      <c r="B264" s="99"/>
      <c r="C264" s="97" t="str">
        <f t="shared" si="12"/>
        <v/>
      </c>
      <c r="D264" s="98"/>
      <c r="E264" s="99"/>
      <c r="F264" s="97" t="str">
        <f t="shared" si="13"/>
        <v/>
      </c>
      <c r="G264" s="98"/>
      <c r="H264" s="99"/>
      <c r="I264" s="97" t="str">
        <f t="shared" si="14"/>
        <v/>
      </c>
    </row>
    <row r="265" spans="1:9" s="97" customFormat="1" ht="17">
      <c r="A265" s="98"/>
      <c r="B265" s="99"/>
      <c r="C265" s="97" t="str">
        <f t="shared" si="12"/>
        <v/>
      </c>
      <c r="D265" s="98"/>
      <c r="E265" s="99"/>
      <c r="F265" s="97" t="str">
        <f t="shared" si="13"/>
        <v/>
      </c>
      <c r="G265" s="98"/>
      <c r="H265" s="99"/>
      <c r="I265" s="97" t="str">
        <f t="shared" si="14"/>
        <v/>
      </c>
    </row>
    <row r="266" spans="1:9" s="97" customFormat="1" ht="17">
      <c r="A266" s="98"/>
      <c r="B266" s="99"/>
      <c r="C266" s="97" t="str">
        <f t="shared" si="12"/>
        <v/>
      </c>
      <c r="D266" s="98"/>
      <c r="E266" s="99"/>
      <c r="F266" s="97" t="str">
        <f t="shared" si="13"/>
        <v/>
      </c>
      <c r="G266" s="98"/>
      <c r="H266" s="99"/>
      <c r="I266" s="97" t="str">
        <f t="shared" si="14"/>
        <v/>
      </c>
    </row>
    <row r="267" spans="1:9" s="97" customFormat="1" ht="17">
      <c r="A267" s="98"/>
      <c r="B267" s="99"/>
      <c r="C267" s="97" t="str">
        <f t="shared" si="12"/>
        <v/>
      </c>
      <c r="D267" s="98"/>
      <c r="E267" s="99"/>
      <c r="F267" s="97" t="str">
        <f t="shared" si="13"/>
        <v/>
      </c>
      <c r="G267" s="98"/>
      <c r="H267" s="99"/>
      <c r="I267" s="97" t="str">
        <f t="shared" si="14"/>
        <v/>
      </c>
    </row>
    <row r="268" spans="1:9" s="97" customFormat="1" ht="17">
      <c r="A268" s="98"/>
      <c r="B268" s="99"/>
      <c r="C268" s="97" t="str">
        <f t="shared" si="12"/>
        <v/>
      </c>
      <c r="D268" s="98"/>
      <c r="E268" s="99"/>
      <c r="F268" s="97" t="str">
        <f t="shared" si="13"/>
        <v/>
      </c>
      <c r="G268" s="98"/>
      <c r="H268" s="99"/>
      <c r="I268" s="97" t="str">
        <f t="shared" si="14"/>
        <v/>
      </c>
    </row>
    <row r="269" spans="1:9" s="97" customFormat="1" ht="17">
      <c r="A269" s="98"/>
      <c r="B269" s="99"/>
      <c r="C269" s="97" t="str">
        <f t="shared" si="12"/>
        <v/>
      </c>
      <c r="D269" s="98"/>
      <c r="E269" s="99"/>
      <c r="F269" s="97" t="str">
        <f t="shared" si="13"/>
        <v/>
      </c>
      <c r="G269" s="98"/>
      <c r="H269" s="99"/>
      <c r="I269" s="97" t="str">
        <f t="shared" si="14"/>
        <v/>
      </c>
    </row>
    <row r="270" spans="1:9" s="97" customFormat="1" ht="17">
      <c r="A270" s="98"/>
      <c r="B270" s="99"/>
      <c r="C270" s="97" t="str">
        <f t="shared" si="12"/>
        <v/>
      </c>
      <c r="D270" s="98"/>
      <c r="E270" s="99"/>
      <c r="F270" s="97" t="str">
        <f t="shared" si="13"/>
        <v/>
      </c>
      <c r="G270" s="98"/>
      <c r="H270" s="99"/>
      <c r="I270" s="97" t="str">
        <f t="shared" si="14"/>
        <v/>
      </c>
    </row>
    <row r="271" spans="1:9" s="97" customFormat="1" ht="17">
      <c r="A271" s="98"/>
      <c r="B271" s="99"/>
      <c r="C271" s="97" t="str">
        <f t="shared" si="12"/>
        <v/>
      </c>
      <c r="D271" s="98"/>
      <c r="E271" s="99"/>
      <c r="F271" s="97" t="str">
        <f t="shared" si="13"/>
        <v/>
      </c>
      <c r="G271" s="98"/>
      <c r="H271" s="99"/>
      <c r="I271" s="97" t="str">
        <f t="shared" si="14"/>
        <v/>
      </c>
    </row>
    <row r="272" spans="1:9" s="97" customFormat="1" ht="17">
      <c r="A272" s="98"/>
      <c r="B272" s="99"/>
      <c r="C272" s="97" t="str">
        <f t="shared" si="12"/>
        <v/>
      </c>
      <c r="D272" s="98"/>
      <c r="E272" s="99"/>
      <c r="F272" s="97" t="str">
        <f t="shared" si="13"/>
        <v/>
      </c>
      <c r="G272" s="98"/>
      <c r="H272" s="99"/>
      <c r="I272" s="97" t="str">
        <f t="shared" si="14"/>
        <v/>
      </c>
    </row>
    <row r="273" spans="1:9" s="97" customFormat="1" ht="17">
      <c r="A273" s="98"/>
      <c r="B273" s="99"/>
      <c r="C273" s="97" t="str">
        <f t="shared" si="12"/>
        <v/>
      </c>
      <c r="D273" s="98"/>
      <c r="E273" s="99"/>
      <c r="F273" s="97" t="str">
        <f t="shared" si="13"/>
        <v/>
      </c>
      <c r="G273" s="98"/>
      <c r="H273" s="99"/>
      <c r="I273" s="97" t="str">
        <f t="shared" si="14"/>
        <v/>
      </c>
    </row>
    <row r="274" spans="1:9" s="97" customFormat="1" ht="17">
      <c r="A274" s="98"/>
      <c r="B274" s="99"/>
      <c r="C274" s="97" t="str">
        <f t="shared" si="12"/>
        <v/>
      </c>
      <c r="D274" s="98"/>
      <c r="E274" s="99"/>
      <c r="F274" s="97" t="str">
        <f t="shared" si="13"/>
        <v/>
      </c>
      <c r="G274" s="98"/>
      <c r="H274" s="99"/>
      <c r="I274" s="97" t="str">
        <f t="shared" si="14"/>
        <v/>
      </c>
    </row>
    <row r="275" spans="1:9" s="97" customFormat="1" ht="17">
      <c r="A275" s="98"/>
      <c r="B275" s="99"/>
      <c r="C275" s="97" t="str">
        <f t="shared" si="12"/>
        <v/>
      </c>
      <c r="D275" s="98"/>
      <c r="E275" s="99"/>
      <c r="F275" s="97" t="str">
        <f t="shared" si="13"/>
        <v/>
      </c>
      <c r="G275" s="98"/>
      <c r="H275" s="99"/>
      <c r="I275" s="97" t="str">
        <f t="shared" si="14"/>
        <v/>
      </c>
    </row>
    <row r="276" spans="1:9" s="97" customFormat="1" ht="17">
      <c r="A276" s="98"/>
      <c r="B276" s="99"/>
      <c r="C276" s="97" t="str">
        <f t="shared" si="12"/>
        <v/>
      </c>
      <c r="D276" s="98"/>
      <c r="E276" s="99"/>
      <c r="F276" s="97" t="str">
        <f t="shared" si="13"/>
        <v/>
      </c>
      <c r="G276" s="98"/>
      <c r="H276" s="99"/>
      <c r="I276" s="97" t="str">
        <f t="shared" si="14"/>
        <v/>
      </c>
    </row>
    <row r="277" spans="1:9" s="97" customFormat="1" ht="17">
      <c r="A277" s="98"/>
      <c r="B277" s="99"/>
      <c r="C277" s="97" t="str">
        <f t="shared" si="12"/>
        <v/>
      </c>
      <c r="D277" s="98"/>
      <c r="E277" s="99"/>
      <c r="F277" s="97" t="str">
        <f t="shared" si="13"/>
        <v/>
      </c>
      <c r="G277" s="98"/>
      <c r="H277" s="99"/>
      <c r="I277" s="97" t="str">
        <f t="shared" si="14"/>
        <v/>
      </c>
    </row>
    <row r="278" spans="1:9" s="97" customFormat="1" ht="17">
      <c r="A278" s="98"/>
      <c r="B278" s="99"/>
      <c r="C278" s="97" t="str">
        <f t="shared" si="12"/>
        <v/>
      </c>
      <c r="D278" s="98"/>
      <c r="E278" s="99"/>
      <c r="F278" s="97" t="str">
        <f t="shared" si="13"/>
        <v/>
      </c>
      <c r="G278" s="98"/>
      <c r="H278" s="99"/>
      <c r="I278" s="97" t="str">
        <f t="shared" si="14"/>
        <v/>
      </c>
    </row>
    <row r="279" spans="1:9" s="97" customFormat="1" ht="17">
      <c r="A279" s="98"/>
      <c r="B279" s="99"/>
      <c r="C279" s="97" t="str">
        <f t="shared" si="12"/>
        <v/>
      </c>
      <c r="D279" s="98"/>
      <c r="E279" s="99"/>
      <c r="F279" s="97" t="str">
        <f t="shared" si="13"/>
        <v/>
      </c>
      <c r="G279" s="98"/>
      <c r="H279" s="99"/>
      <c r="I279" s="97" t="str">
        <f t="shared" si="14"/>
        <v/>
      </c>
    </row>
    <row r="280" spans="1:9" s="97" customFormat="1" ht="17">
      <c r="A280" s="98"/>
      <c r="B280" s="99"/>
      <c r="C280" s="97" t="str">
        <f t="shared" si="12"/>
        <v/>
      </c>
      <c r="D280" s="98"/>
      <c r="E280" s="99"/>
      <c r="F280" s="97" t="str">
        <f t="shared" si="13"/>
        <v/>
      </c>
      <c r="G280" s="98"/>
      <c r="H280" s="99"/>
      <c r="I280" s="97" t="str">
        <f t="shared" si="14"/>
        <v/>
      </c>
    </row>
    <row r="281" spans="1:9" s="97" customFormat="1" ht="17">
      <c r="A281" s="98"/>
      <c r="B281" s="99"/>
      <c r="C281" s="97" t="str">
        <f t="shared" si="12"/>
        <v/>
      </c>
      <c r="D281" s="98"/>
      <c r="E281" s="99"/>
      <c r="F281" s="97" t="str">
        <f t="shared" si="13"/>
        <v/>
      </c>
      <c r="G281" s="98"/>
      <c r="H281" s="99"/>
      <c r="I281" s="97" t="str">
        <f t="shared" si="14"/>
        <v/>
      </c>
    </row>
    <row r="282" spans="1:9" s="97" customFormat="1" ht="17">
      <c r="A282" s="98"/>
      <c r="B282" s="99"/>
      <c r="C282" s="97" t="str">
        <f t="shared" si="12"/>
        <v/>
      </c>
      <c r="D282" s="98"/>
      <c r="E282" s="99"/>
      <c r="F282" s="97" t="str">
        <f t="shared" si="13"/>
        <v/>
      </c>
      <c r="G282" s="98"/>
      <c r="H282" s="99"/>
      <c r="I282" s="97" t="str">
        <f t="shared" si="14"/>
        <v/>
      </c>
    </row>
    <row r="283" spans="1:9" s="97" customFormat="1" ht="17">
      <c r="A283" s="98"/>
      <c r="B283" s="99"/>
      <c r="C283" s="97" t="str">
        <f t="shared" si="12"/>
        <v/>
      </c>
      <c r="D283" s="98"/>
      <c r="E283" s="99"/>
      <c r="F283" s="97" t="str">
        <f t="shared" si="13"/>
        <v/>
      </c>
      <c r="G283" s="98"/>
      <c r="H283" s="99"/>
      <c r="I283" s="97" t="str">
        <f t="shared" si="14"/>
        <v/>
      </c>
    </row>
    <row r="284" spans="1:9" s="97" customFormat="1" ht="17">
      <c r="A284" s="98"/>
      <c r="B284" s="99"/>
      <c r="C284" s="97" t="str">
        <f t="shared" si="12"/>
        <v/>
      </c>
      <c r="D284" s="98"/>
      <c r="E284" s="99"/>
      <c r="F284" s="97" t="str">
        <f t="shared" si="13"/>
        <v/>
      </c>
      <c r="G284" s="98"/>
      <c r="H284" s="99"/>
      <c r="I284" s="97" t="str">
        <f t="shared" si="14"/>
        <v/>
      </c>
    </row>
    <row r="285" spans="1:9" s="97" customFormat="1" ht="17">
      <c r="A285" s="98"/>
      <c r="B285" s="99"/>
      <c r="C285" s="97" t="str">
        <f t="shared" si="12"/>
        <v/>
      </c>
      <c r="D285" s="98"/>
      <c r="E285" s="99"/>
      <c r="F285" s="97" t="str">
        <f t="shared" si="13"/>
        <v/>
      </c>
      <c r="G285" s="98"/>
      <c r="H285" s="99"/>
      <c r="I285" s="97" t="str">
        <f t="shared" si="14"/>
        <v/>
      </c>
    </row>
    <row r="286" spans="1:9" s="97" customFormat="1" ht="17">
      <c r="A286" s="98"/>
      <c r="B286" s="99"/>
      <c r="C286" s="97" t="str">
        <f t="shared" si="12"/>
        <v/>
      </c>
      <c r="D286" s="98"/>
      <c r="E286" s="99"/>
      <c r="F286" s="97" t="str">
        <f t="shared" si="13"/>
        <v/>
      </c>
      <c r="G286" s="98"/>
      <c r="H286" s="99"/>
      <c r="I286" s="97" t="str">
        <f t="shared" si="14"/>
        <v/>
      </c>
    </row>
    <row r="287" spans="1:9" s="97" customFormat="1" ht="17">
      <c r="A287" s="98"/>
      <c r="B287" s="99"/>
      <c r="C287" s="97" t="str">
        <f t="shared" si="12"/>
        <v/>
      </c>
      <c r="D287" s="98"/>
      <c r="E287" s="99"/>
      <c r="F287" s="97" t="str">
        <f t="shared" si="13"/>
        <v/>
      </c>
      <c r="G287" s="98"/>
      <c r="H287" s="99"/>
      <c r="I287" s="97" t="str">
        <f t="shared" si="14"/>
        <v/>
      </c>
    </row>
    <row r="288" spans="1:9" s="97" customFormat="1" ht="17">
      <c r="A288" s="98"/>
      <c r="B288" s="99"/>
      <c r="C288" s="97" t="str">
        <f t="shared" si="12"/>
        <v/>
      </c>
      <c r="D288" s="98"/>
      <c r="E288" s="99"/>
      <c r="F288" s="97" t="str">
        <f t="shared" si="13"/>
        <v/>
      </c>
      <c r="G288" s="98"/>
      <c r="H288" s="99"/>
      <c r="I288" s="97" t="str">
        <f t="shared" si="14"/>
        <v/>
      </c>
    </row>
    <row r="289" spans="1:9" s="97" customFormat="1" ht="17">
      <c r="A289" s="98"/>
      <c r="B289" s="99"/>
      <c r="C289" s="97" t="str">
        <f t="shared" si="12"/>
        <v/>
      </c>
      <c r="D289" s="98"/>
      <c r="E289" s="99"/>
      <c r="F289" s="97" t="str">
        <f t="shared" si="13"/>
        <v/>
      </c>
      <c r="G289" s="98"/>
      <c r="H289" s="99"/>
      <c r="I289" s="97" t="str">
        <f t="shared" si="14"/>
        <v/>
      </c>
    </row>
    <row r="290" spans="1:9" s="97" customFormat="1" ht="17">
      <c r="A290" s="98"/>
      <c r="B290" s="99"/>
      <c r="C290" s="97" t="str">
        <f t="shared" si="12"/>
        <v/>
      </c>
      <c r="D290" s="98"/>
      <c r="E290" s="99"/>
      <c r="F290" s="97" t="str">
        <f t="shared" si="13"/>
        <v/>
      </c>
      <c r="G290" s="98"/>
      <c r="H290" s="99"/>
      <c r="I290" s="97" t="str">
        <f t="shared" si="14"/>
        <v/>
      </c>
    </row>
    <row r="291" spans="1:9" s="97" customFormat="1" ht="17">
      <c r="A291" s="98"/>
      <c r="B291" s="99"/>
      <c r="C291" s="97" t="str">
        <f t="shared" si="12"/>
        <v/>
      </c>
      <c r="D291" s="98"/>
      <c r="E291" s="99"/>
      <c r="F291" s="97" t="str">
        <f t="shared" si="13"/>
        <v/>
      </c>
      <c r="G291" s="98"/>
      <c r="H291" s="99"/>
      <c r="I291" s="97" t="str">
        <f t="shared" si="14"/>
        <v/>
      </c>
    </row>
    <row r="292" spans="1:9" s="97" customFormat="1" ht="17">
      <c r="A292" s="98"/>
      <c r="B292" s="99"/>
      <c r="C292" s="97" t="str">
        <f t="shared" si="12"/>
        <v/>
      </c>
      <c r="D292" s="98"/>
      <c r="E292" s="99"/>
      <c r="F292" s="97" t="str">
        <f t="shared" si="13"/>
        <v/>
      </c>
      <c r="G292" s="98"/>
      <c r="H292" s="99"/>
      <c r="I292" s="97" t="str">
        <f t="shared" si="14"/>
        <v/>
      </c>
    </row>
    <row r="293" spans="1:9" s="97" customFormat="1" ht="17">
      <c r="A293" s="98"/>
      <c r="B293" s="99"/>
      <c r="C293" s="97" t="str">
        <f t="shared" si="12"/>
        <v/>
      </c>
      <c r="D293" s="98"/>
      <c r="E293" s="99"/>
      <c r="F293" s="97" t="str">
        <f t="shared" si="13"/>
        <v/>
      </c>
      <c r="G293" s="98"/>
      <c r="H293" s="99"/>
      <c r="I293" s="97" t="str">
        <f t="shared" si="14"/>
        <v/>
      </c>
    </row>
    <row r="294" spans="1:9" s="97" customFormat="1" ht="17">
      <c r="A294" s="98"/>
      <c r="B294" s="99"/>
      <c r="C294" s="97" t="str">
        <f t="shared" si="12"/>
        <v/>
      </c>
      <c r="D294" s="98"/>
      <c r="E294" s="99"/>
      <c r="F294" s="97" t="str">
        <f t="shared" si="13"/>
        <v/>
      </c>
      <c r="G294" s="98"/>
      <c r="H294" s="99"/>
      <c r="I294" s="97" t="str">
        <f t="shared" si="14"/>
        <v/>
      </c>
    </row>
    <row r="295" spans="1:9" s="97" customFormat="1" ht="17">
      <c r="A295" s="98"/>
      <c r="B295" s="99"/>
      <c r="C295" s="97" t="str">
        <f t="shared" si="12"/>
        <v/>
      </c>
      <c r="D295" s="98"/>
      <c r="E295" s="99"/>
      <c r="F295" s="97" t="str">
        <f t="shared" si="13"/>
        <v/>
      </c>
      <c r="G295" s="98"/>
      <c r="H295" s="99"/>
      <c r="I295" s="97" t="str">
        <f t="shared" si="14"/>
        <v/>
      </c>
    </row>
    <row r="296" spans="1:9" s="97" customFormat="1" ht="17">
      <c r="A296" s="98"/>
      <c r="B296" s="99"/>
      <c r="C296" s="97" t="str">
        <f t="shared" si="12"/>
        <v/>
      </c>
      <c r="D296" s="98"/>
      <c r="E296" s="99"/>
      <c r="F296" s="97" t="str">
        <f t="shared" si="13"/>
        <v/>
      </c>
      <c r="G296" s="98"/>
      <c r="H296" s="99"/>
      <c r="I296" s="97" t="str">
        <f t="shared" si="14"/>
        <v/>
      </c>
    </row>
    <row r="297" spans="1:9" s="97" customFormat="1" ht="17">
      <c r="A297" s="98"/>
      <c r="B297" s="99"/>
      <c r="C297" s="97" t="str">
        <f t="shared" si="12"/>
        <v/>
      </c>
      <c r="D297" s="98"/>
      <c r="E297" s="99"/>
      <c r="F297" s="97" t="str">
        <f t="shared" si="13"/>
        <v/>
      </c>
      <c r="G297" s="98"/>
      <c r="H297" s="99"/>
      <c r="I297" s="97" t="str">
        <f t="shared" si="14"/>
        <v/>
      </c>
    </row>
    <row r="298" spans="1:9" s="97" customFormat="1" ht="17">
      <c r="A298" s="98"/>
      <c r="B298" s="99"/>
      <c r="C298" s="97" t="str">
        <f t="shared" si="12"/>
        <v/>
      </c>
      <c r="D298" s="98"/>
      <c r="E298" s="99"/>
      <c r="F298" s="97" t="str">
        <f t="shared" si="13"/>
        <v/>
      </c>
      <c r="G298" s="98"/>
      <c r="H298" s="99"/>
      <c r="I298" s="97" t="str">
        <f t="shared" si="14"/>
        <v/>
      </c>
    </row>
    <row r="299" spans="1:9" s="97" customFormat="1" ht="17">
      <c r="A299" s="98"/>
      <c r="B299" s="99"/>
      <c r="C299" s="97" t="str">
        <f t="shared" si="12"/>
        <v/>
      </c>
      <c r="D299" s="98"/>
      <c r="E299" s="99"/>
      <c r="F299" s="97" t="str">
        <f t="shared" si="13"/>
        <v/>
      </c>
      <c r="G299" s="98"/>
      <c r="H299" s="99"/>
      <c r="I299" s="97" t="str">
        <f t="shared" si="14"/>
        <v/>
      </c>
    </row>
    <row r="300" spans="1:9" s="97" customFormat="1" ht="17">
      <c r="A300" s="98"/>
      <c r="B300" s="99"/>
      <c r="C300" s="97" t="str">
        <f t="shared" si="12"/>
        <v/>
      </c>
      <c r="D300" s="98"/>
      <c r="E300" s="99"/>
      <c r="F300" s="97" t="str">
        <f t="shared" si="13"/>
        <v/>
      </c>
      <c r="G300" s="98"/>
      <c r="H300" s="99"/>
      <c r="I300" s="97" t="str">
        <f t="shared" si="14"/>
        <v/>
      </c>
    </row>
    <row r="301" spans="1:9" s="97" customFormat="1" ht="17">
      <c r="A301" s="98"/>
      <c r="B301" s="99"/>
      <c r="C301" s="97" t="str">
        <f t="shared" si="12"/>
        <v/>
      </c>
      <c r="D301" s="98"/>
      <c r="E301" s="99"/>
      <c r="F301" s="97" t="str">
        <f t="shared" si="13"/>
        <v/>
      </c>
      <c r="G301" s="98"/>
      <c r="H301" s="99"/>
      <c r="I301" s="97" t="str">
        <f t="shared" si="14"/>
        <v/>
      </c>
    </row>
    <row r="302" spans="1:9" s="97" customFormat="1" ht="17">
      <c r="A302" s="98"/>
      <c r="B302" s="102"/>
      <c r="C302" s="97" t="str">
        <f t="shared" si="12"/>
        <v/>
      </c>
      <c r="D302" s="98"/>
      <c r="E302" s="102"/>
      <c r="F302" s="97" t="str">
        <f t="shared" si="13"/>
        <v/>
      </c>
      <c r="G302" s="98"/>
      <c r="H302" s="102"/>
      <c r="I302" s="97" t="str">
        <f t="shared" si="14"/>
        <v/>
      </c>
    </row>
    <row r="303" spans="1:9" s="97" customFormat="1" ht="17">
      <c r="A303" s="98"/>
      <c r="B303" s="102"/>
      <c r="C303" s="97" t="str">
        <f t="shared" si="12"/>
        <v/>
      </c>
      <c r="D303" s="98"/>
      <c r="E303" s="102"/>
      <c r="F303" s="97" t="str">
        <f t="shared" si="13"/>
        <v/>
      </c>
      <c r="G303" s="98"/>
      <c r="H303" s="102"/>
      <c r="I303" s="97" t="str">
        <f t="shared" si="14"/>
        <v/>
      </c>
    </row>
    <row r="304" spans="1:9" s="97" customFormat="1" ht="17">
      <c r="A304" s="98"/>
      <c r="B304" s="102"/>
      <c r="C304" s="97" t="str">
        <f t="shared" si="12"/>
        <v/>
      </c>
      <c r="D304" s="98"/>
      <c r="E304" s="102"/>
      <c r="F304" s="97" t="str">
        <f t="shared" si="13"/>
        <v/>
      </c>
      <c r="G304" s="98"/>
      <c r="H304" s="102"/>
      <c r="I304" s="97" t="str">
        <f t="shared" si="14"/>
        <v/>
      </c>
    </row>
    <row r="305" spans="1:7" s="97" customFormat="1" ht="17">
      <c r="A305" s="97" t="s">
        <v>1486</v>
      </c>
      <c r="D305" s="97" t="s">
        <v>1486</v>
      </c>
      <c r="G305" s="97" t="s">
        <v>1486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3203125" defaultRowHeight="14.5"/>
  <cols>
    <col min="1" max="1" width="7.58203125" style="87" bestFit="1" customWidth="1"/>
    <col min="2" max="2" width="8.33203125" style="88" bestFit="1" customWidth="1"/>
    <col min="3" max="3" width="15.75" style="89" customWidth="1"/>
    <col min="4" max="4" width="47.08203125" style="90" customWidth="1"/>
    <col min="5" max="5" width="56.08203125" style="90" customWidth="1"/>
    <col min="6" max="6" width="57.33203125" style="87" customWidth="1"/>
    <col min="7" max="26" width="73.33203125" style="87"/>
    <col min="27" max="27" width="73.33203125" style="87" hidden="1" customWidth="1"/>
    <col min="28" max="16384" width="73.33203125" style="87"/>
  </cols>
  <sheetData>
    <row r="1" spans="1:6" s="85" customFormat="1">
      <c r="A1" s="85" t="s">
        <v>498</v>
      </c>
      <c r="B1" s="85" t="s">
        <v>499</v>
      </c>
      <c r="C1" s="86" t="s">
        <v>500</v>
      </c>
      <c r="D1" s="86" t="s">
        <v>64</v>
      </c>
      <c r="E1" s="86" t="s">
        <v>65</v>
      </c>
      <c r="F1" s="85" t="s">
        <v>1346</v>
      </c>
    </row>
    <row r="2" spans="1:6" ht="101.5">
      <c r="A2" s="87" t="s">
        <v>1335</v>
      </c>
      <c r="B2" s="88">
        <v>1</v>
      </c>
      <c r="C2" s="89" t="s">
        <v>1022</v>
      </c>
      <c r="D2" s="90" t="s">
        <v>501</v>
      </c>
      <c r="E2" s="90" t="s">
        <v>584</v>
      </c>
      <c r="F2" s="90" t="s">
        <v>584</v>
      </c>
    </row>
    <row r="3" spans="1:6" ht="116">
      <c r="A3" s="175">
        <v>600</v>
      </c>
      <c r="B3" s="88">
        <v>2</v>
      </c>
      <c r="C3" s="89" t="s">
        <v>1022</v>
      </c>
      <c r="D3" s="90" t="s">
        <v>494</v>
      </c>
      <c r="E3" s="90" t="s">
        <v>585</v>
      </c>
      <c r="F3" s="90" t="s">
        <v>585</v>
      </c>
    </row>
    <row r="4" spans="1:6" ht="72.5">
      <c r="B4" s="88">
        <v>3</v>
      </c>
      <c r="C4" s="89" t="s">
        <v>1022</v>
      </c>
      <c r="D4" s="90" t="s">
        <v>502</v>
      </c>
      <c r="E4" s="90" t="s">
        <v>586</v>
      </c>
      <c r="F4" s="90" t="s">
        <v>586</v>
      </c>
    </row>
    <row r="5" spans="1:6" ht="72.5">
      <c r="B5" s="88">
        <v>4</v>
      </c>
      <c r="C5" s="89" t="s">
        <v>1022</v>
      </c>
      <c r="D5" s="90" t="s">
        <v>503</v>
      </c>
      <c r="E5" s="90" t="s">
        <v>587</v>
      </c>
      <c r="F5" s="90" t="s">
        <v>587</v>
      </c>
    </row>
    <row r="6" spans="1:6" ht="72.5">
      <c r="B6" s="88">
        <v>5</v>
      </c>
      <c r="C6" s="89" t="s">
        <v>1022</v>
      </c>
      <c r="D6" s="90" t="s">
        <v>504</v>
      </c>
      <c r="E6" s="90" t="s">
        <v>588</v>
      </c>
      <c r="F6" s="90" t="s">
        <v>588</v>
      </c>
    </row>
    <row r="7" spans="1:6" ht="58">
      <c r="B7" s="88">
        <v>6</v>
      </c>
      <c r="C7" s="89" t="s">
        <v>1022</v>
      </c>
      <c r="D7" s="90" t="s">
        <v>505</v>
      </c>
      <c r="E7" s="90" t="s">
        <v>589</v>
      </c>
      <c r="F7" s="90" t="s">
        <v>589</v>
      </c>
    </row>
    <row r="8" spans="1:6">
      <c r="B8" s="88">
        <v>7</v>
      </c>
      <c r="C8" s="89" t="s">
        <v>1022</v>
      </c>
      <c r="D8" s="90" t="s">
        <v>496</v>
      </c>
      <c r="E8" s="90" t="s">
        <v>590</v>
      </c>
      <c r="F8" s="90" t="s">
        <v>590</v>
      </c>
    </row>
    <row r="9" spans="1:6" ht="58">
      <c r="B9" s="88">
        <v>8</v>
      </c>
      <c r="C9" s="89" t="s">
        <v>1229</v>
      </c>
      <c r="D9" s="90" t="s">
        <v>1226</v>
      </c>
      <c r="E9" s="90" t="s">
        <v>1145</v>
      </c>
      <c r="F9" s="90" t="s">
        <v>1145</v>
      </c>
    </row>
    <row r="10" spans="1:6" ht="58">
      <c r="B10" s="88">
        <v>9</v>
      </c>
      <c r="C10" s="89" t="s">
        <v>1229</v>
      </c>
      <c r="D10" s="90" t="s">
        <v>1207</v>
      </c>
      <c r="E10" s="90" t="s">
        <v>1169</v>
      </c>
      <c r="F10" s="90" t="s">
        <v>1169</v>
      </c>
    </row>
    <row r="11" spans="1:6" ht="72.5">
      <c r="B11" s="88">
        <v>10</v>
      </c>
      <c r="C11" s="89" t="s">
        <v>1229</v>
      </c>
      <c r="D11" s="90" t="s">
        <v>1227</v>
      </c>
      <c r="E11" s="90" t="s">
        <v>1209</v>
      </c>
      <c r="F11" s="90" t="s">
        <v>1209</v>
      </c>
    </row>
    <row r="12" spans="1:6" ht="58">
      <c r="B12" s="88">
        <v>11</v>
      </c>
      <c r="C12" s="89" t="s">
        <v>1229</v>
      </c>
      <c r="D12" s="90" t="s">
        <v>1212</v>
      </c>
      <c r="E12" s="90" t="s">
        <v>1211</v>
      </c>
      <c r="F12" s="90" t="s">
        <v>1211</v>
      </c>
    </row>
    <row r="13" spans="1:6" ht="87">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9">
      <c r="B19" s="88">
        <v>106</v>
      </c>
      <c r="D19" s="90" t="s">
        <v>418</v>
      </c>
      <c r="E19" s="90" t="s">
        <v>596</v>
      </c>
      <c r="F19" s="90" t="s">
        <v>596</v>
      </c>
    </row>
    <row r="20" spans="1:6" ht="43.5">
      <c r="B20" s="88">
        <v>107</v>
      </c>
      <c r="D20" s="90" t="s">
        <v>419</v>
      </c>
      <c r="E20" s="90" t="s">
        <v>597</v>
      </c>
      <c r="F20" s="90" t="s">
        <v>597</v>
      </c>
    </row>
    <row r="21" spans="1:6" ht="43.5">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9">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9">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9">
      <c r="B38" s="88">
        <v>125</v>
      </c>
      <c r="D38" s="90" t="s">
        <v>1065</v>
      </c>
      <c r="E38" s="90" t="s">
        <v>1066</v>
      </c>
      <c r="F38" s="90" t="s">
        <v>1066</v>
      </c>
    </row>
    <row r="39" spans="2:6" ht="29">
      <c r="B39" s="88">
        <v>126</v>
      </c>
      <c r="D39" s="90" t="s">
        <v>1064</v>
      </c>
      <c r="E39" s="90" t="s">
        <v>1063</v>
      </c>
      <c r="F39" s="90" t="s">
        <v>1063</v>
      </c>
    </row>
    <row r="40" spans="2:6" ht="29">
      <c r="B40" s="88">
        <v>127</v>
      </c>
      <c r="D40" s="90" t="s">
        <v>80</v>
      </c>
      <c r="E40" s="90" t="s">
        <v>608</v>
      </c>
      <c r="F40" s="90" t="s">
        <v>608</v>
      </c>
    </row>
    <row r="41" spans="2:6" ht="29">
      <c r="B41" s="88">
        <v>128</v>
      </c>
      <c r="D41" s="90" t="s">
        <v>81</v>
      </c>
      <c r="E41" s="90" t="s">
        <v>609</v>
      </c>
      <c r="F41" s="90" t="s">
        <v>609</v>
      </c>
    </row>
    <row r="42" spans="2:6" ht="29">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1363</v>
      </c>
      <c r="E46" s="90" t="s">
        <v>613</v>
      </c>
      <c r="F46" s="90" t="s">
        <v>613</v>
      </c>
    </row>
    <row r="47" spans="2:6">
      <c r="B47" s="88">
        <v>134</v>
      </c>
      <c r="D47" s="90" t="s">
        <v>1362</v>
      </c>
      <c r="E47" s="90" t="s">
        <v>614</v>
      </c>
      <c r="F47" s="90" t="s">
        <v>614</v>
      </c>
    </row>
    <row r="48" spans="2:6">
      <c r="B48" s="88">
        <v>135</v>
      </c>
      <c r="D48" s="175" t="s">
        <v>1361</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9">
      <c r="B53" s="88">
        <v>140</v>
      </c>
      <c r="D53" s="90" t="s">
        <v>86</v>
      </c>
      <c r="E53" s="90" t="s">
        <v>616</v>
      </c>
      <c r="F53" s="90" t="s">
        <v>616</v>
      </c>
    </row>
    <row r="54" spans="2:6" ht="29">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9">
      <c r="B58" s="88">
        <v>145</v>
      </c>
      <c r="D58" s="90" t="s">
        <v>89</v>
      </c>
      <c r="E58" s="90" t="s">
        <v>619</v>
      </c>
      <c r="F58" s="90" t="s">
        <v>619</v>
      </c>
    </row>
    <row r="59" spans="2:6">
      <c r="B59" s="88">
        <v>146</v>
      </c>
      <c r="D59" s="90" t="s">
        <v>90</v>
      </c>
      <c r="E59" s="90" t="s">
        <v>620</v>
      </c>
      <c r="F59" s="90" t="s">
        <v>620</v>
      </c>
    </row>
    <row r="60" spans="2:6" ht="29">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9">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9">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43.5">
      <c r="B95" s="88">
        <v>182</v>
      </c>
      <c r="C95" s="89" t="s">
        <v>1143</v>
      </c>
      <c r="D95" s="90" t="s">
        <v>1228</v>
      </c>
      <c r="E95" s="90" t="s">
        <v>1168</v>
      </c>
      <c r="F95" s="90" t="s">
        <v>1168</v>
      </c>
    </row>
    <row r="96" spans="1:6">
      <c r="B96" s="88">
        <v>183</v>
      </c>
      <c r="D96" s="90" t="s">
        <v>109</v>
      </c>
      <c r="E96" s="90" t="s">
        <v>645</v>
      </c>
      <c r="F96" s="90" t="s">
        <v>645</v>
      </c>
    </row>
    <row r="97" spans="2:6">
      <c r="B97" s="88">
        <v>184</v>
      </c>
      <c r="D97" s="90" t="s">
        <v>1341</v>
      </c>
      <c r="E97" s="90" t="s">
        <v>1352</v>
      </c>
      <c r="F97" s="90" t="s">
        <v>1352</v>
      </c>
    </row>
    <row r="98" spans="2:6">
      <c r="B98" s="88">
        <v>185</v>
      </c>
      <c r="D98" s="90" t="s">
        <v>110</v>
      </c>
      <c r="E98" s="90" t="s">
        <v>646</v>
      </c>
      <c r="F98" s="90" t="s">
        <v>646</v>
      </c>
    </row>
    <row r="99" spans="2:6" ht="29">
      <c r="B99" s="88">
        <v>186</v>
      </c>
      <c r="D99" s="90" t="s">
        <v>111</v>
      </c>
      <c r="E99" s="90" t="s">
        <v>647</v>
      </c>
      <c r="F99" s="90" t="s">
        <v>647</v>
      </c>
    </row>
    <row r="100" spans="2:6" ht="29">
      <c r="B100" s="88">
        <v>187</v>
      </c>
      <c r="D100" s="90" t="s">
        <v>112</v>
      </c>
      <c r="E100" s="90" t="s">
        <v>648</v>
      </c>
      <c r="F100" s="90" t="s">
        <v>648</v>
      </c>
    </row>
    <row r="101" spans="2:6" ht="29">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9">
      <c r="B110" s="88">
        <v>197</v>
      </c>
      <c r="D110" s="90" t="s">
        <v>429</v>
      </c>
      <c r="E110" s="90" t="s">
        <v>654</v>
      </c>
      <c r="F110" s="90" t="s">
        <v>654</v>
      </c>
    </row>
    <row r="111" spans="2:6" ht="29">
      <c r="B111" s="88">
        <v>198</v>
      </c>
      <c r="D111" s="90" t="s">
        <v>117</v>
      </c>
      <c r="E111" s="90" t="s">
        <v>655</v>
      </c>
      <c r="F111" s="90" t="s">
        <v>655</v>
      </c>
    </row>
    <row r="112" spans="2:6">
      <c r="B112" s="88">
        <v>199</v>
      </c>
      <c r="D112" s="90" t="s">
        <v>1343</v>
      </c>
      <c r="E112" s="90" t="s">
        <v>1353</v>
      </c>
      <c r="F112" s="90" t="s">
        <v>1353</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9">
      <c r="B121" s="88">
        <v>208</v>
      </c>
      <c r="D121" s="90" t="s">
        <v>121</v>
      </c>
      <c r="E121" s="90" t="s">
        <v>659</v>
      </c>
      <c r="F121" s="90" t="s">
        <v>659</v>
      </c>
    </row>
    <row r="122" spans="2:6" ht="29">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1391</v>
      </c>
      <c r="E157" s="90" t="s">
        <v>682</v>
      </c>
      <c r="F157" s="90" t="s">
        <v>682</v>
      </c>
    </row>
    <row r="158" spans="2:6">
      <c r="B158" s="88">
        <v>245</v>
      </c>
      <c r="D158" s="90" t="s">
        <v>1392</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1413</v>
      </c>
      <c r="E166" s="90" t="s">
        <v>1358</v>
      </c>
      <c r="F166" s="90" t="s">
        <v>1358</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9">
      <c r="B175" s="88">
        <v>262</v>
      </c>
      <c r="D175" s="90" t="s">
        <v>1071</v>
      </c>
      <c r="E175" s="90" t="s">
        <v>1073</v>
      </c>
      <c r="F175" s="90" t="s">
        <v>1073</v>
      </c>
    </row>
    <row r="176" spans="2:6" ht="29">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9">
      <c r="B184" s="88">
        <v>271</v>
      </c>
      <c r="D184" s="90" t="s">
        <v>144</v>
      </c>
      <c r="E184" s="90" t="s">
        <v>697</v>
      </c>
      <c r="F184" s="90" t="s">
        <v>697</v>
      </c>
    </row>
    <row r="185" spans="2:6" ht="43.5">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9">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1347</v>
      </c>
      <c r="E205" s="90" t="s">
        <v>1348</v>
      </c>
      <c r="F205" s="90" t="s">
        <v>1348</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1377</v>
      </c>
      <c r="E215" s="179" t="s">
        <v>1174</v>
      </c>
      <c r="F215" s="179" t="s">
        <v>1174</v>
      </c>
    </row>
    <row r="216" spans="2:6">
      <c r="B216" s="88">
        <v>303</v>
      </c>
      <c r="C216" s="89" t="s">
        <v>1143</v>
      </c>
      <c r="D216" s="179" t="s">
        <v>1182</v>
      </c>
      <c r="E216" s="179" t="s">
        <v>1144</v>
      </c>
      <c r="F216" s="179" t="s">
        <v>1144</v>
      </c>
    </row>
    <row r="217" spans="2:6">
      <c r="B217" s="88">
        <v>304</v>
      </c>
      <c r="C217" s="89" t="s">
        <v>1143</v>
      </c>
      <c r="D217" s="179" t="s">
        <v>1380</v>
      </c>
      <c r="E217" s="179" t="s">
        <v>1153</v>
      </c>
      <c r="F217" s="179" t="s">
        <v>1153</v>
      </c>
    </row>
    <row r="218" spans="2:6">
      <c r="B218" s="88">
        <v>305</v>
      </c>
      <c r="C218" s="89" t="s">
        <v>1143</v>
      </c>
      <c r="D218" s="179" t="s">
        <v>1224</v>
      </c>
      <c r="E218" s="179" t="s">
        <v>1225</v>
      </c>
      <c r="F218" s="179" t="s">
        <v>1225</v>
      </c>
    </row>
    <row r="219" spans="2:6">
      <c r="B219" s="88">
        <v>305</v>
      </c>
      <c r="C219" s="89" t="s">
        <v>1143</v>
      </c>
      <c r="D219" s="179" t="s">
        <v>1378</v>
      </c>
      <c r="E219" s="179" t="s">
        <v>1379</v>
      </c>
      <c r="F219" s="179" t="s">
        <v>1379</v>
      </c>
    </row>
    <row r="220" spans="2:6">
      <c r="B220" s="88">
        <v>306</v>
      </c>
      <c r="C220" s="89" t="s">
        <v>1143</v>
      </c>
      <c r="D220" s="179" t="s">
        <v>1367</v>
      </c>
      <c r="E220" s="179" t="s">
        <v>1368</v>
      </c>
      <c r="F220" s="179" t="s">
        <v>1368</v>
      </c>
    </row>
    <row r="221" spans="2:6">
      <c r="B221" s="88">
        <v>307</v>
      </c>
      <c r="C221" s="89" t="s">
        <v>1143</v>
      </c>
      <c r="D221" s="179" t="s">
        <v>1369</v>
      </c>
      <c r="E221" s="179" t="s">
        <v>1370</v>
      </c>
      <c r="F221" s="179" t="s">
        <v>1370</v>
      </c>
    </row>
    <row r="222" spans="2:6">
      <c r="B222" s="88">
        <v>308</v>
      </c>
      <c r="C222" s="89" t="s">
        <v>1143</v>
      </c>
      <c r="D222" s="179" t="s">
        <v>1371</v>
      </c>
      <c r="E222" s="179" t="s">
        <v>1372</v>
      </c>
      <c r="F222" s="179" t="s">
        <v>1372</v>
      </c>
    </row>
    <row r="223" spans="2:6">
      <c r="B223" s="88">
        <v>309</v>
      </c>
      <c r="C223" s="89" t="s">
        <v>1143</v>
      </c>
      <c r="D223" s="179" t="s">
        <v>1373</v>
      </c>
      <c r="E223" s="179" t="s">
        <v>1374</v>
      </c>
      <c r="F223" s="179" t="s">
        <v>1374</v>
      </c>
    </row>
    <row r="224" spans="2:6">
      <c r="B224" s="88">
        <v>310</v>
      </c>
      <c r="C224" s="89" t="s">
        <v>1143</v>
      </c>
      <c r="D224" s="179" t="s">
        <v>1375</v>
      </c>
      <c r="E224" s="179" t="s">
        <v>1381</v>
      </c>
      <c r="F224" s="179" t="s">
        <v>1381</v>
      </c>
    </row>
    <row r="225" spans="2:6">
      <c r="B225" s="88">
        <v>311</v>
      </c>
      <c r="C225" s="89" t="s">
        <v>1143</v>
      </c>
      <c r="D225" s="179" t="s">
        <v>1376</v>
      </c>
      <c r="E225" s="179" t="s">
        <v>1382</v>
      </c>
      <c r="F225" s="179" t="s">
        <v>1382</v>
      </c>
    </row>
    <row r="226" spans="2:6">
      <c r="B226" s="88">
        <v>312</v>
      </c>
      <c r="C226" s="89" t="s">
        <v>1143</v>
      </c>
      <c r="D226" s="179" t="s">
        <v>1216</v>
      </c>
      <c r="E226" s="179" t="s">
        <v>1383</v>
      </c>
      <c r="F226" s="179" t="s">
        <v>1383</v>
      </c>
    </row>
    <row r="227" spans="2:6">
      <c r="B227" s="88">
        <v>313</v>
      </c>
      <c r="C227" s="89" t="s">
        <v>1143</v>
      </c>
      <c r="D227" s="179" t="s">
        <v>1217</v>
      </c>
      <c r="E227" s="179" t="s">
        <v>1384</v>
      </c>
      <c r="F227" s="179" t="s">
        <v>1384</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9">
      <c r="B233" s="88">
        <v>319</v>
      </c>
      <c r="D233" s="90" t="s">
        <v>162</v>
      </c>
      <c r="E233" s="90" t="s">
        <v>719</v>
      </c>
      <c r="F233" s="90" t="s">
        <v>719</v>
      </c>
    </row>
    <row r="234" spans="2:6" ht="29">
      <c r="B234" s="88">
        <v>320</v>
      </c>
      <c r="D234" s="90" t="s">
        <v>163</v>
      </c>
      <c r="E234" s="90" t="s">
        <v>720</v>
      </c>
      <c r="F234" s="90" t="s">
        <v>720</v>
      </c>
    </row>
    <row r="235" spans="2:6" ht="29">
      <c r="B235" s="88">
        <v>321</v>
      </c>
      <c r="D235" s="90" t="s">
        <v>164</v>
      </c>
      <c r="E235" s="90" t="s">
        <v>721</v>
      </c>
      <c r="F235" s="90" t="s">
        <v>721</v>
      </c>
    </row>
    <row r="236" spans="2:6" ht="29">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9">
      <c r="B247" s="88">
        <v>333</v>
      </c>
      <c r="D247" s="90" t="s">
        <v>170</v>
      </c>
      <c r="E247" s="90" t="s">
        <v>727</v>
      </c>
      <c r="F247" s="90" t="s">
        <v>727</v>
      </c>
    </row>
    <row r="248" spans="2:6" ht="29">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9">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9">
      <c r="B262" s="88">
        <v>348</v>
      </c>
      <c r="C262" s="89" t="s">
        <v>1143</v>
      </c>
      <c r="D262" s="90" t="s">
        <v>1190</v>
      </c>
      <c r="E262" s="90" t="s">
        <v>1151</v>
      </c>
      <c r="F262" s="90" t="s">
        <v>1151</v>
      </c>
    </row>
    <row r="263" spans="2:6" ht="29">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9">
      <c r="B271" s="88">
        <v>357</v>
      </c>
      <c r="C271" s="89" t="s">
        <v>1143</v>
      </c>
      <c r="D271" s="90" t="s">
        <v>1189</v>
      </c>
      <c r="E271" s="90" t="s">
        <v>1188</v>
      </c>
      <c r="F271" s="90" t="s">
        <v>1188</v>
      </c>
    </row>
    <row r="272" spans="2:6" ht="43.5">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9">
      <c r="B299" s="88">
        <v>385</v>
      </c>
      <c r="D299" s="90" t="s">
        <v>196</v>
      </c>
      <c r="E299" s="90" t="s">
        <v>757</v>
      </c>
      <c r="F299" s="90" t="s">
        <v>757</v>
      </c>
    </row>
    <row r="300" spans="2:6">
      <c r="B300" s="88">
        <v>386</v>
      </c>
      <c r="D300" s="90" t="s">
        <v>1342</v>
      </c>
      <c r="E300" s="90" t="s">
        <v>1354</v>
      </c>
      <c r="F300" s="90" t="s">
        <v>1354</v>
      </c>
    </row>
    <row r="301" spans="2:6" ht="29">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43.5">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9">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9">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9">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9">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1351</v>
      </c>
      <c r="E372" s="90" t="s">
        <v>1350</v>
      </c>
      <c r="F372" s="90" t="s">
        <v>1350</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9">
      <c r="B376" s="88">
        <v>462</v>
      </c>
      <c r="D376" s="90" t="s">
        <v>1334</v>
      </c>
      <c r="E376" s="90" t="s">
        <v>805</v>
      </c>
      <c r="F376" s="90" t="s">
        <v>805</v>
      </c>
    </row>
    <row r="377" spans="2:6" ht="29">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9">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43.5">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1359</v>
      </c>
      <c r="E390" s="90" t="s">
        <v>1360</v>
      </c>
      <c r="F390" s="90" t="s">
        <v>1360</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9">
      <c r="B395" s="88">
        <v>481</v>
      </c>
      <c r="D395" s="90" t="s">
        <v>252</v>
      </c>
      <c r="E395" s="90" t="s">
        <v>816</v>
      </c>
      <c r="F395" s="90" t="s">
        <v>816</v>
      </c>
    </row>
    <row r="396" spans="2:6">
      <c r="B396" s="88">
        <v>482</v>
      </c>
      <c r="D396" s="90" t="s">
        <v>1357</v>
      </c>
      <c r="E396" s="90" t="s">
        <v>1349</v>
      </c>
      <c r="F396" s="90" t="s">
        <v>1349</v>
      </c>
    </row>
    <row r="397" spans="2:6">
      <c r="B397" s="88">
        <v>483</v>
      </c>
      <c r="D397" s="90" t="s">
        <v>1355</v>
      </c>
      <c r="E397" s="90" t="s">
        <v>1344</v>
      </c>
      <c r="F397" s="90" t="s">
        <v>1344</v>
      </c>
    </row>
    <row r="398" spans="2:6">
      <c r="B398" s="88">
        <v>484</v>
      </c>
      <c r="D398" s="90" t="s">
        <v>1356</v>
      </c>
      <c r="E398" s="90" t="s">
        <v>1345</v>
      </c>
      <c r="F398" s="90" t="s">
        <v>1345</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1411</v>
      </c>
      <c r="E406" s="90" t="s">
        <v>1155</v>
      </c>
      <c r="F406" s="90" t="s">
        <v>1155</v>
      </c>
    </row>
    <row r="407" spans="2:6">
      <c r="B407" s="88">
        <v>493</v>
      </c>
      <c r="D407" s="90" t="s">
        <v>257</v>
      </c>
      <c r="E407" s="90" t="s">
        <v>820</v>
      </c>
      <c r="F407" s="90" t="s">
        <v>820</v>
      </c>
    </row>
    <row r="408" spans="2:6" ht="58">
      <c r="B408" s="88">
        <v>494</v>
      </c>
      <c r="D408" s="90" t="s">
        <v>258</v>
      </c>
      <c r="E408" s="90" t="s">
        <v>821</v>
      </c>
      <c r="F408" s="90" t="s">
        <v>821</v>
      </c>
    </row>
    <row r="409" spans="2:6">
      <c r="B409" s="88">
        <v>495</v>
      </c>
      <c r="D409" s="90" t="s">
        <v>259</v>
      </c>
      <c r="E409" s="90" t="s">
        <v>822</v>
      </c>
      <c r="F409" s="90" t="s">
        <v>822</v>
      </c>
    </row>
    <row r="410" spans="2:6" ht="29">
      <c r="B410" s="88">
        <v>496</v>
      </c>
      <c r="D410" s="90" t="s">
        <v>260</v>
      </c>
      <c r="E410" s="90" t="s">
        <v>823</v>
      </c>
      <c r="F410" s="90" t="s">
        <v>823</v>
      </c>
    </row>
    <row r="411" spans="2:6" ht="29">
      <c r="B411" s="88">
        <v>497</v>
      </c>
      <c r="D411" s="90" t="s">
        <v>261</v>
      </c>
      <c r="E411" s="90" t="s">
        <v>824</v>
      </c>
      <c r="F411" s="90" t="s">
        <v>824</v>
      </c>
    </row>
    <row r="412" spans="2:6" ht="29">
      <c r="B412" s="88">
        <v>498</v>
      </c>
      <c r="D412" s="90" t="s">
        <v>262</v>
      </c>
      <c r="E412" s="90" t="s">
        <v>825</v>
      </c>
      <c r="F412" s="90" t="s">
        <v>825</v>
      </c>
    </row>
    <row r="413" spans="2:6" ht="29">
      <c r="B413" s="88">
        <v>499</v>
      </c>
      <c r="D413" s="90" t="s">
        <v>263</v>
      </c>
      <c r="E413" s="90" t="s">
        <v>826</v>
      </c>
      <c r="F413" s="90" t="s">
        <v>826</v>
      </c>
    </row>
    <row r="414" spans="2:6" ht="29">
      <c r="B414" s="88">
        <v>500</v>
      </c>
      <c r="D414" s="90" t="s">
        <v>264</v>
      </c>
      <c r="E414" s="90" t="s">
        <v>827</v>
      </c>
      <c r="F414" s="90" t="s">
        <v>827</v>
      </c>
    </row>
    <row r="415" spans="2:6" ht="29">
      <c r="B415" s="88">
        <v>501</v>
      </c>
      <c r="D415" s="90" t="s">
        <v>265</v>
      </c>
      <c r="E415" s="90" t="s">
        <v>828</v>
      </c>
      <c r="F415" s="90" t="s">
        <v>828</v>
      </c>
    </row>
    <row r="416" spans="2:6" ht="29">
      <c r="B416" s="88">
        <v>502</v>
      </c>
      <c r="D416" s="90" t="s">
        <v>266</v>
      </c>
      <c r="E416" s="90" t="s">
        <v>829</v>
      </c>
      <c r="F416" s="90" t="s">
        <v>829</v>
      </c>
    </row>
    <row r="417" spans="2:6" ht="29">
      <c r="B417" s="88">
        <v>503</v>
      </c>
      <c r="D417" s="90" t="s">
        <v>267</v>
      </c>
      <c r="E417" s="90" t="s">
        <v>830</v>
      </c>
      <c r="F417" s="90" t="s">
        <v>830</v>
      </c>
    </row>
    <row r="418" spans="2:6" ht="29">
      <c r="B418" s="88">
        <v>504</v>
      </c>
      <c r="D418" s="90" t="s">
        <v>268</v>
      </c>
      <c r="E418" s="90" t="s">
        <v>831</v>
      </c>
      <c r="F418" s="90" t="s">
        <v>831</v>
      </c>
    </row>
    <row r="419" spans="2:6" ht="29">
      <c r="B419" s="88">
        <v>505</v>
      </c>
      <c r="D419" s="90" t="s">
        <v>269</v>
      </c>
      <c r="E419" s="90" t="s">
        <v>832</v>
      </c>
      <c r="F419" s="90" t="s">
        <v>832</v>
      </c>
    </row>
    <row r="420" spans="2:6" ht="29">
      <c r="B420" s="88">
        <v>506</v>
      </c>
      <c r="D420" s="90" t="s">
        <v>270</v>
      </c>
      <c r="E420" s="90" t="s">
        <v>833</v>
      </c>
      <c r="F420" s="90" t="s">
        <v>833</v>
      </c>
    </row>
    <row r="421" spans="2:6" ht="29">
      <c r="B421" s="88">
        <v>507</v>
      </c>
      <c r="D421" s="90" t="s">
        <v>271</v>
      </c>
      <c r="E421" s="90" t="s">
        <v>834</v>
      </c>
      <c r="F421" s="90" t="s">
        <v>834</v>
      </c>
    </row>
    <row r="422" spans="2:6" ht="29">
      <c r="B422" s="88">
        <v>508</v>
      </c>
      <c r="D422" s="90" t="s">
        <v>272</v>
      </c>
      <c r="E422" s="90" t="s">
        <v>835</v>
      </c>
      <c r="F422" s="90" t="s">
        <v>835</v>
      </c>
    </row>
    <row r="423" spans="2:6" ht="29">
      <c r="B423" s="88">
        <v>509</v>
      </c>
      <c r="D423" s="90" t="s">
        <v>273</v>
      </c>
      <c r="E423" s="90" t="s">
        <v>836</v>
      </c>
      <c r="F423" s="90" t="s">
        <v>836</v>
      </c>
    </row>
    <row r="424" spans="2:6" ht="29">
      <c r="B424" s="88">
        <v>510</v>
      </c>
      <c r="D424" s="90" t="s">
        <v>274</v>
      </c>
      <c r="E424" s="90" t="s">
        <v>837</v>
      </c>
      <c r="F424" s="90" t="s">
        <v>837</v>
      </c>
    </row>
    <row r="425" spans="2:6" ht="29">
      <c r="B425" s="88">
        <v>511</v>
      </c>
      <c r="D425" s="90" t="s">
        <v>275</v>
      </c>
      <c r="E425" s="90" t="s">
        <v>838</v>
      </c>
      <c r="F425" s="90" t="s">
        <v>838</v>
      </c>
    </row>
    <row r="426" spans="2:6" ht="29">
      <c r="B426" s="88">
        <v>512</v>
      </c>
      <c r="D426" s="90" t="s">
        <v>276</v>
      </c>
      <c r="E426" s="90" t="s">
        <v>839</v>
      </c>
      <c r="F426" s="90" t="s">
        <v>839</v>
      </c>
    </row>
    <row r="427" spans="2:6" ht="29">
      <c r="B427" s="88">
        <v>513</v>
      </c>
      <c r="D427" s="90" t="s">
        <v>277</v>
      </c>
      <c r="E427" s="90" t="s">
        <v>840</v>
      </c>
      <c r="F427" s="90" t="s">
        <v>840</v>
      </c>
    </row>
    <row r="428" spans="2:6" ht="29">
      <c r="B428" s="88">
        <v>514</v>
      </c>
      <c r="D428" s="90" t="s">
        <v>278</v>
      </c>
      <c r="E428" s="90" t="s">
        <v>841</v>
      </c>
      <c r="F428" s="90" t="s">
        <v>841</v>
      </c>
    </row>
    <row r="429" spans="2:6" ht="29">
      <c r="B429" s="88">
        <v>515</v>
      </c>
      <c r="D429" s="90" t="s">
        <v>279</v>
      </c>
      <c r="E429" s="90" t="s">
        <v>842</v>
      </c>
      <c r="F429" s="90" t="s">
        <v>842</v>
      </c>
    </row>
    <row r="430" spans="2:6" ht="29">
      <c r="B430" s="88">
        <v>516</v>
      </c>
      <c r="D430" s="90" t="s">
        <v>280</v>
      </c>
      <c r="E430" s="90" t="s">
        <v>843</v>
      </c>
      <c r="F430" s="90" t="s">
        <v>843</v>
      </c>
    </row>
    <row r="431" spans="2:6" ht="29">
      <c r="B431" s="88">
        <v>517</v>
      </c>
      <c r="D431" s="90" t="s">
        <v>471</v>
      </c>
      <c r="E431" s="90" t="s">
        <v>844</v>
      </c>
      <c r="F431" s="90" t="s">
        <v>844</v>
      </c>
    </row>
    <row r="432" spans="2:6" ht="29">
      <c r="B432" s="88">
        <v>518</v>
      </c>
      <c r="D432" s="90" t="s">
        <v>472</v>
      </c>
      <c r="E432" s="90" t="s">
        <v>844</v>
      </c>
      <c r="F432" s="90" t="s">
        <v>844</v>
      </c>
    </row>
    <row r="433" spans="1:27" ht="29">
      <c r="B433" s="88">
        <v>519</v>
      </c>
      <c r="D433" s="90" t="s">
        <v>281</v>
      </c>
      <c r="E433" s="90" t="s">
        <v>845</v>
      </c>
      <c r="F433" s="90" t="s">
        <v>845</v>
      </c>
    </row>
    <row r="434" spans="1:27" ht="29">
      <c r="B434" s="88">
        <v>520</v>
      </c>
      <c r="D434" s="90" t="s">
        <v>282</v>
      </c>
      <c r="E434" s="90" t="s">
        <v>846</v>
      </c>
      <c r="F434" s="90" t="s">
        <v>846</v>
      </c>
    </row>
    <row r="435" spans="1:27" ht="29">
      <c r="B435" s="88">
        <v>521</v>
      </c>
      <c r="D435" s="90" t="s">
        <v>283</v>
      </c>
      <c r="E435" s="90" t="s">
        <v>847</v>
      </c>
      <c r="F435" s="90" t="s">
        <v>847</v>
      </c>
    </row>
    <row r="436" spans="1:27" ht="29">
      <c r="B436" s="88">
        <v>522</v>
      </c>
      <c r="D436" s="90" t="s">
        <v>284</v>
      </c>
      <c r="E436" s="90" t="s">
        <v>848</v>
      </c>
      <c r="F436" s="90" t="s">
        <v>848</v>
      </c>
    </row>
    <row r="437" spans="1:27" ht="29">
      <c r="B437" s="88">
        <v>523</v>
      </c>
      <c r="D437" s="90" t="s">
        <v>473</v>
      </c>
      <c r="E437" s="90" t="s">
        <v>849</v>
      </c>
      <c r="F437" s="90" t="s">
        <v>849</v>
      </c>
    </row>
    <row r="438" spans="1:27" s="175" customFormat="1" ht="29">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43.5">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9">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9">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9">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9">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9">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9">
      <c r="B453" s="88">
        <v>539</v>
      </c>
      <c r="D453" s="90" t="s">
        <v>475</v>
      </c>
      <c r="E453" s="90" t="s">
        <v>865</v>
      </c>
      <c r="F453" s="90" t="s">
        <v>865</v>
      </c>
    </row>
    <row r="454" spans="1:27" ht="58">
      <c r="A454" s="175"/>
      <c r="B454" s="88">
        <v>540</v>
      </c>
      <c r="C454" s="181" t="s">
        <v>507</v>
      </c>
      <c r="D454" s="175" t="s">
        <v>523</v>
      </c>
      <c r="E454" s="175" t="s">
        <v>866</v>
      </c>
      <c r="F454" s="175" t="s">
        <v>866</v>
      </c>
    </row>
    <row r="455" spans="1:27" ht="43.5">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9">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9">
      <c r="B463" s="88">
        <v>549</v>
      </c>
      <c r="D463" s="90" t="s">
        <v>1271</v>
      </c>
      <c r="E463" s="90" t="s">
        <v>1272</v>
      </c>
      <c r="F463" s="90" t="s">
        <v>1272</v>
      </c>
    </row>
    <row r="464" spans="1:27">
      <c r="B464" s="88">
        <v>550</v>
      </c>
      <c r="D464" s="90" t="s">
        <v>1273</v>
      </c>
      <c r="E464" s="90" t="s">
        <v>1274</v>
      </c>
      <c r="F464" s="90" t="s">
        <v>1274</v>
      </c>
    </row>
    <row r="465" spans="2:6" ht="29">
      <c r="B465" s="88">
        <v>551</v>
      </c>
      <c r="D465" s="90" t="s">
        <v>306</v>
      </c>
      <c r="E465" s="90" t="s">
        <v>874</v>
      </c>
      <c r="F465" s="90" t="s">
        <v>874</v>
      </c>
    </row>
    <row r="466" spans="2:6">
      <c r="B466" s="88">
        <v>552</v>
      </c>
      <c r="D466" s="90" t="s">
        <v>476</v>
      </c>
      <c r="E466" s="90" t="s">
        <v>875</v>
      </c>
      <c r="F466" s="90" t="s">
        <v>875</v>
      </c>
    </row>
    <row r="467" spans="2:6" ht="29">
      <c r="B467" s="88">
        <v>553</v>
      </c>
      <c r="D467" s="90" t="s">
        <v>307</v>
      </c>
      <c r="E467" s="90" t="s">
        <v>876</v>
      </c>
      <c r="F467" s="90" t="s">
        <v>876</v>
      </c>
    </row>
    <row r="468" spans="2:6" ht="29">
      <c r="B468" s="88">
        <v>554</v>
      </c>
      <c r="D468" s="90" t="s">
        <v>477</v>
      </c>
      <c r="E468" s="90" t="s">
        <v>877</v>
      </c>
      <c r="F468" s="90" t="s">
        <v>877</v>
      </c>
    </row>
    <row r="469" spans="2:6" ht="29">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9">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43.5">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43.5">
      <c r="B481" s="88">
        <v>567</v>
      </c>
      <c r="D481" s="90" t="s">
        <v>317</v>
      </c>
      <c r="E481" s="90" t="s">
        <v>888</v>
      </c>
      <c r="F481" s="90" t="s">
        <v>888</v>
      </c>
    </row>
    <row r="482" spans="2:6" ht="29">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9">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43.5">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43.5">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9">
      <c r="B505" s="88">
        <v>591</v>
      </c>
      <c r="D505" s="90" t="s">
        <v>332</v>
      </c>
      <c r="E505" s="90" t="s">
        <v>908</v>
      </c>
      <c r="F505" s="90" t="s">
        <v>908</v>
      </c>
    </row>
    <row r="506" spans="1:6">
      <c r="B506" s="88">
        <v>592</v>
      </c>
      <c r="D506" s="90" t="s">
        <v>333</v>
      </c>
      <c r="E506" s="90" t="s">
        <v>909</v>
      </c>
      <c r="F506" s="90" t="s">
        <v>909</v>
      </c>
    </row>
    <row r="507" spans="1:6" ht="43.5">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9">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1338</v>
      </c>
      <c r="E529" s="90" t="s">
        <v>1340</v>
      </c>
      <c r="F529" s="90" t="s">
        <v>1340</v>
      </c>
    </row>
    <row r="530" spans="1:6">
      <c r="B530" s="88">
        <v>616</v>
      </c>
      <c r="D530" s="90" t="s">
        <v>1337</v>
      </c>
      <c r="E530" s="90" t="s">
        <v>1339</v>
      </c>
      <c r="F530" s="90" t="s">
        <v>1339</v>
      </c>
    </row>
    <row r="531" spans="1:6" ht="29">
      <c r="B531" s="88">
        <v>617</v>
      </c>
      <c r="C531" s="89" t="s">
        <v>1143</v>
      </c>
      <c r="D531" s="90" t="s">
        <v>1184</v>
      </c>
      <c r="E531" s="90" t="s">
        <v>1147</v>
      </c>
      <c r="F531" s="90" t="s">
        <v>1147</v>
      </c>
    </row>
    <row r="532" spans="1:6" ht="43.5">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9">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1385</v>
      </c>
      <c r="E546" s="90" t="s">
        <v>1386</v>
      </c>
      <c r="F546" s="90" t="s">
        <v>1386</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9">
      <c r="B551" s="88">
        <v>637</v>
      </c>
      <c r="C551" s="89" t="s">
        <v>1143</v>
      </c>
      <c r="D551" s="90" t="s">
        <v>1201</v>
      </c>
      <c r="E551" s="90" t="s">
        <v>1200</v>
      </c>
      <c r="F551" s="90" t="s">
        <v>1200</v>
      </c>
    </row>
    <row r="552" spans="2:6">
      <c r="B552" s="88">
        <v>638</v>
      </c>
      <c r="D552" s="90" t="s">
        <v>357</v>
      </c>
      <c r="E552" s="90" t="s">
        <v>932</v>
      </c>
      <c r="F552" s="90" t="s">
        <v>932</v>
      </c>
    </row>
    <row r="553" spans="2:6" ht="43.5">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9">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9">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9">
      <c r="B565" s="88">
        <v>651</v>
      </c>
      <c r="C565" s="89" t="s">
        <v>1143</v>
      </c>
      <c r="D565" s="90" t="s">
        <v>1202</v>
      </c>
      <c r="E565" s="90" t="s">
        <v>1165</v>
      </c>
      <c r="F565" s="90" t="s">
        <v>1165</v>
      </c>
    </row>
    <row r="566" spans="2:27" ht="29">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43.5">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43.5">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62"/>
  <sheetViews>
    <sheetView zoomScale="81" zoomScaleNormal="81" workbookViewId="0">
      <selection activeCell="F10" sqref="F10"/>
    </sheetView>
  </sheetViews>
  <sheetFormatPr defaultColWidth="10.58203125" defaultRowHeight="14.5"/>
  <cols>
    <col min="1" max="1" width="8.33203125" style="128" bestFit="1" customWidth="1"/>
    <col min="2" max="2" width="8.08203125" style="128" bestFit="1" customWidth="1"/>
    <col min="3" max="12" width="10.1640625" style="128" bestFit="1" customWidth="1"/>
    <col min="13" max="13" width="29.08203125" style="128" bestFit="1" customWidth="1"/>
    <col min="14" max="14" width="13.83203125" style="128" bestFit="1" customWidth="1"/>
    <col min="15" max="16" width="10.08203125" style="128" bestFit="1" customWidth="1"/>
    <col min="17" max="17" width="13.75" style="128" bestFit="1" customWidth="1"/>
    <col min="18" max="18" width="14.4140625" style="128" bestFit="1" customWidth="1"/>
    <col min="19" max="19" width="11.58203125" style="128" bestFit="1" customWidth="1"/>
    <col min="20" max="20" width="17.75" style="128" bestFit="1" customWidth="1"/>
    <col min="21" max="21" width="12.6640625" style="128" bestFit="1" customWidth="1"/>
    <col min="22" max="22" width="12.25" style="129" bestFit="1" customWidth="1"/>
    <col min="23" max="23" width="13.6640625" style="128" bestFit="1" customWidth="1"/>
    <col min="24" max="24" width="16.6640625" style="130" bestFit="1" customWidth="1"/>
    <col min="25" max="25" width="8.08203125" style="130" bestFit="1" customWidth="1"/>
    <col min="26" max="26" width="9.58203125" style="130" bestFit="1" customWidth="1"/>
    <col min="27" max="27" width="9.6640625" style="129" bestFit="1" customWidth="1"/>
    <col min="28" max="28" width="10.25" style="129" bestFit="1" customWidth="1"/>
    <col min="29" max="29" width="11" style="129" bestFit="1" customWidth="1"/>
    <col min="30" max="30" width="13.75" style="128" bestFit="1" customWidth="1"/>
    <col min="31" max="32" width="10.58203125" style="128"/>
    <col min="33" max="16384" width="10.582031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v>1</v>
      </c>
      <c r="B2" s="131" t="s">
        <v>1098</v>
      </c>
      <c r="C2" s="131" t="s">
        <v>1023</v>
      </c>
      <c r="D2" s="131" t="s">
        <v>1097</v>
      </c>
      <c r="E2" s="131" t="s">
        <v>1098</v>
      </c>
      <c r="M2" s="131" t="s">
        <v>1489</v>
      </c>
      <c r="N2" s="131" t="s">
        <v>1555</v>
      </c>
      <c r="O2" s="127">
        <v>44683</v>
      </c>
      <c r="P2" s="127">
        <v>44700</v>
      </c>
      <c r="Q2" s="127">
        <v>44683</v>
      </c>
      <c r="R2" s="127">
        <v>44688</v>
      </c>
      <c r="S2" s="128">
        <v>19</v>
      </c>
      <c r="T2" s="128">
        <v>1</v>
      </c>
      <c r="U2" s="128">
        <v>4</v>
      </c>
      <c r="V2" s="129">
        <v>2</v>
      </c>
      <c r="W2" s="128">
        <v>0</v>
      </c>
      <c r="X2" s="130">
        <v>1</v>
      </c>
      <c r="Y2" s="130">
        <v>0.15384615384615385</v>
      </c>
      <c r="Z2" s="130">
        <v>1</v>
      </c>
      <c r="AC2" s="129">
        <v>4</v>
      </c>
    </row>
    <row r="3" spans="1:30">
      <c r="A3" s="131">
        <v>1</v>
      </c>
      <c r="B3" s="131" t="s">
        <v>1098</v>
      </c>
      <c r="C3" s="131" t="s">
        <v>1023</v>
      </c>
      <c r="D3" s="131" t="s">
        <v>1097</v>
      </c>
      <c r="E3" s="131" t="s">
        <v>1098</v>
      </c>
      <c r="M3" s="131" t="s">
        <v>1489</v>
      </c>
      <c r="N3" s="131" t="s">
        <v>1558</v>
      </c>
      <c r="O3" s="127">
        <v>44683</v>
      </c>
      <c r="P3" s="127">
        <v>44700</v>
      </c>
      <c r="Q3" s="127">
        <v>44683</v>
      </c>
      <c r="R3" s="127">
        <v>44688</v>
      </c>
      <c r="S3" s="128">
        <v>19</v>
      </c>
      <c r="T3" s="128">
        <v>1</v>
      </c>
      <c r="U3" s="128">
        <v>4</v>
      </c>
      <c r="V3" s="129">
        <v>2</v>
      </c>
      <c r="W3" s="128">
        <v>0</v>
      </c>
      <c r="X3" s="130">
        <v>1</v>
      </c>
      <c r="Y3" s="130">
        <v>0.15384615384615385</v>
      </c>
      <c r="Z3" s="130">
        <v>1</v>
      </c>
      <c r="AC3" s="129">
        <v>4</v>
      </c>
    </row>
    <row r="4" spans="1:30">
      <c r="A4" s="131">
        <v>1</v>
      </c>
      <c r="B4" s="131" t="s">
        <v>1098</v>
      </c>
      <c r="C4" s="131" t="s">
        <v>1023</v>
      </c>
      <c r="D4" s="131" t="s">
        <v>1097</v>
      </c>
      <c r="E4" s="131" t="s">
        <v>1098</v>
      </c>
      <c r="M4" s="131" t="s">
        <v>1489</v>
      </c>
      <c r="N4" s="131" t="s">
        <v>1570</v>
      </c>
      <c r="O4" s="127">
        <v>44683</v>
      </c>
      <c r="P4" s="127">
        <v>44700</v>
      </c>
      <c r="Q4" s="127">
        <v>44683</v>
      </c>
      <c r="R4" s="127">
        <v>44688</v>
      </c>
      <c r="S4" s="128">
        <v>19</v>
      </c>
      <c r="T4" s="128">
        <v>1</v>
      </c>
      <c r="U4" s="128">
        <v>4</v>
      </c>
      <c r="V4" s="129">
        <v>2</v>
      </c>
      <c r="W4" s="128">
        <v>0</v>
      </c>
      <c r="X4" s="130">
        <v>1</v>
      </c>
      <c r="Y4" s="130">
        <v>0.15384615384615385</v>
      </c>
      <c r="Z4" s="130">
        <v>1</v>
      </c>
      <c r="AC4" s="129">
        <v>4</v>
      </c>
    </row>
    <row r="5" spans="1:30">
      <c r="A5" s="131">
        <v>1</v>
      </c>
      <c r="B5" s="131" t="s">
        <v>1098</v>
      </c>
      <c r="C5" s="131" t="s">
        <v>1023</v>
      </c>
      <c r="D5" s="131" t="s">
        <v>1097</v>
      </c>
      <c r="E5" s="131" t="s">
        <v>1098</v>
      </c>
      <c r="M5" s="131" t="s">
        <v>1489</v>
      </c>
      <c r="N5" s="131" t="s">
        <v>1571</v>
      </c>
      <c r="O5" s="127">
        <v>44683</v>
      </c>
      <c r="P5" s="127">
        <v>44700</v>
      </c>
      <c r="Q5" s="127">
        <v>44683</v>
      </c>
      <c r="R5" s="127">
        <v>44688</v>
      </c>
      <c r="S5" s="128">
        <v>19</v>
      </c>
      <c r="T5" s="128">
        <v>1</v>
      </c>
      <c r="U5" s="128">
        <v>4</v>
      </c>
      <c r="V5" s="129">
        <v>2</v>
      </c>
      <c r="W5" s="128">
        <v>0</v>
      </c>
      <c r="X5" s="130">
        <v>1</v>
      </c>
      <c r="Y5" s="130">
        <v>0.15384615384615385</v>
      </c>
      <c r="Z5" s="130">
        <v>1</v>
      </c>
      <c r="AC5" s="129">
        <v>4</v>
      </c>
    </row>
    <row r="6" spans="1:30">
      <c r="A6" s="131">
        <v>1</v>
      </c>
      <c r="B6" s="131" t="s">
        <v>1098</v>
      </c>
      <c r="C6" s="131" t="s">
        <v>1023</v>
      </c>
      <c r="D6" s="131" t="s">
        <v>1097</v>
      </c>
      <c r="E6" s="131" t="s">
        <v>1098</v>
      </c>
      <c r="M6" s="131" t="s">
        <v>1489</v>
      </c>
      <c r="N6" s="131" t="s">
        <v>1572</v>
      </c>
      <c r="O6" s="127">
        <v>44683</v>
      </c>
      <c r="P6" s="127">
        <v>44700</v>
      </c>
      <c r="Q6" s="127">
        <v>44683</v>
      </c>
      <c r="R6" s="127">
        <v>44688</v>
      </c>
      <c r="S6" s="128">
        <v>19</v>
      </c>
      <c r="T6" s="128">
        <v>1</v>
      </c>
      <c r="U6" s="128">
        <v>4</v>
      </c>
      <c r="V6" s="129">
        <v>2</v>
      </c>
      <c r="W6" s="128">
        <v>0</v>
      </c>
      <c r="X6" s="130">
        <v>1</v>
      </c>
      <c r="Y6" s="130">
        <v>0.15384615384615385</v>
      </c>
      <c r="Z6" s="130">
        <v>1</v>
      </c>
      <c r="AC6" s="129">
        <v>4</v>
      </c>
    </row>
    <row r="7" spans="1:30">
      <c r="A7" s="131">
        <v>1</v>
      </c>
      <c r="B7" s="131" t="s">
        <v>1098</v>
      </c>
      <c r="C7" s="131" t="s">
        <v>1023</v>
      </c>
      <c r="D7" s="131" t="s">
        <v>1097</v>
      </c>
      <c r="E7" s="131" t="s">
        <v>1098</v>
      </c>
      <c r="M7" s="131" t="s">
        <v>1489</v>
      </c>
      <c r="N7" s="131" t="s">
        <v>1555</v>
      </c>
      <c r="O7" s="127">
        <v>44683</v>
      </c>
      <c r="P7" s="127">
        <v>44700</v>
      </c>
      <c r="Q7" s="127">
        <v>44689</v>
      </c>
      <c r="R7" s="127">
        <v>44695</v>
      </c>
      <c r="S7" s="128">
        <v>20</v>
      </c>
      <c r="T7" s="128">
        <v>2</v>
      </c>
      <c r="U7" s="128">
        <v>5</v>
      </c>
      <c r="V7" s="129">
        <v>0</v>
      </c>
      <c r="W7" s="128">
        <v>0</v>
      </c>
      <c r="X7" s="130">
        <v>1</v>
      </c>
      <c r="Y7" s="130">
        <v>0.15384615384615385</v>
      </c>
      <c r="Z7" s="130">
        <v>1</v>
      </c>
      <c r="AC7" s="129">
        <v>5</v>
      </c>
    </row>
    <row r="8" spans="1:30">
      <c r="A8" s="131">
        <v>1</v>
      </c>
      <c r="B8" s="131" t="s">
        <v>1098</v>
      </c>
      <c r="C8" s="131" t="s">
        <v>1023</v>
      </c>
      <c r="D8" s="131" t="s">
        <v>1097</v>
      </c>
      <c r="E8" s="131" t="s">
        <v>1098</v>
      </c>
      <c r="M8" s="131" t="s">
        <v>1489</v>
      </c>
      <c r="N8" s="131" t="s">
        <v>1558</v>
      </c>
      <c r="O8" s="127">
        <v>44683</v>
      </c>
      <c r="P8" s="127">
        <v>44700</v>
      </c>
      <c r="Q8" s="127">
        <v>44689</v>
      </c>
      <c r="R8" s="127">
        <v>44695</v>
      </c>
      <c r="S8" s="128">
        <v>20</v>
      </c>
      <c r="T8" s="128">
        <v>2</v>
      </c>
      <c r="U8" s="128">
        <v>5</v>
      </c>
      <c r="V8" s="129">
        <v>0</v>
      </c>
      <c r="W8" s="128">
        <v>0</v>
      </c>
      <c r="X8" s="130">
        <v>1</v>
      </c>
      <c r="Y8" s="130">
        <v>0.15384615384615385</v>
      </c>
      <c r="Z8" s="130">
        <v>1</v>
      </c>
      <c r="AC8" s="129">
        <v>5</v>
      </c>
    </row>
    <row r="9" spans="1:30">
      <c r="A9" s="131">
        <v>1</v>
      </c>
      <c r="B9" s="131" t="s">
        <v>1098</v>
      </c>
      <c r="C9" s="131" t="s">
        <v>1023</v>
      </c>
      <c r="D9" s="131" t="s">
        <v>1097</v>
      </c>
      <c r="E9" s="131" t="s">
        <v>1098</v>
      </c>
      <c r="M9" s="131" t="s">
        <v>1489</v>
      </c>
      <c r="N9" s="131" t="s">
        <v>1570</v>
      </c>
      <c r="O9" s="127">
        <v>44683</v>
      </c>
      <c r="P9" s="127">
        <v>44700</v>
      </c>
      <c r="Q9" s="127">
        <v>44689</v>
      </c>
      <c r="R9" s="127">
        <v>44695</v>
      </c>
      <c r="S9" s="128">
        <v>20</v>
      </c>
      <c r="T9" s="128">
        <v>2</v>
      </c>
      <c r="U9" s="128">
        <v>5</v>
      </c>
      <c r="V9" s="129">
        <v>0</v>
      </c>
      <c r="W9" s="128">
        <v>0</v>
      </c>
      <c r="X9" s="130">
        <v>1</v>
      </c>
      <c r="Y9" s="130">
        <v>0.15384615384615385</v>
      </c>
      <c r="Z9" s="130">
        <v>1</v>
      </c>
      <c r="AC9" s="129">
        <v>5</v>
      </c>
    </row>
    <row r="10" spans="1:30">
      <c r="A10" s="131">
        <v>1</v>
      </c>
      <c r="B10" s="131" t="s">
        <v>1098</v>
      </c>
      <c r="C10" s="131" t="s">
        <v>1023</v>
      </c>
      <c r="D10" s="131" t="s">
        <v>1097</v>
      </c>
      <c r="E10" s="131" t="s">
        <v>1098</v>
      </c>
      <c r="M10" s="131" t="s">
        <v>1489</v>
      </c>
      <c r="N10" s="131" t="s">
        <v>1571</v>
      </c>
      <c r="O10" s="127">
        <v>44683</v>
      </c>
      <c r="P10" s="127">
        <v>44700</v>
      </c>
      <c r="Q10" s="127">
        <v>44689</v>
      </c>
      <c r="R10" s="127">
        <v>44695</v>
      </c>
      <c r="S10" s="128">
        <v>20</v>
      </c>
      <c r="T10" s="128">
        <v>2</v>
      </c>
      <c r="U10" s="128">
        <v>5</v>
      </c>
      <c r="V10" s="129">
        <v>0</v>
      </c>
      <c r="W10" s="128">
        <v>0</v>
      </c>
      <c r="X10" s="130">
        <v>1</v>
      </c>
      <c r="Y10" s="130">
        <v>0.15384615384615385</v>
      </c>
      <c r="Z10" s="130">
        <v>1</v>
      </c>
      <c r="AC10" s="129">
        <v>5</v>
      </c>
    </row>
    <row r="11" spans="1:30">
      <c r="A11" s="131">
        <v>1</v>
      </c>
      <c r="B11" s="131" t="s">
        <v>1098</v>
      </c>
      <c r="C11" s="131" t="s">
        <v>1023</v>
      </c>
      <c r="D11" s="131" t="s">
        <v>1097</v>
      </c>
      <c r="E11" s="131" t="s">
        <v>1098</v>
      </c>
      <c r="M11" s="131" t="s">
        <v>1489</v>
      </c>
      <c r="N11" s="131" t="s">
        <v>1572</v>
      </c>
      <c r="O11" s="127">
        <v>44683</v>
      </c>
      <c r="P11" s="127">
        <v>44700</v>
      </c>
      <c r="Q11" s="127">
        <v>44689</v>
      </c>
      <c r="R11" s="127">
        <v>44695</v>
      </c>
      <c r="S11" s="128">
        <v>20</v>
      </c>
      <c r="T11" s="128">
        <v>2</v>
      </c>
      <c r="U11" s="128">
        <v>5</v>
      </c>
      <c r="V11" s="129">
        <v>0</v>
      </c>
      <c r="W11" s="128">
        <v>0</v>
      </c>
      <c r="X11" s="130">
        <v>1</v>
      </c>
      <c r="Y11" s="130">
        <v>0.15384615384615385</v>
      </c>
      <c r="Z11" s="130">
        <v>1</v>
      </c>
      <c r="AC11" s="129">
        <v>5</v>
      </c>
    </row>
    <row r="12" spans="1:30">
      <c r="A12" s="131">
        <v>1</v>
      </c>
      <c r="B12" s="131" t="s">
        <v>1098</v>
      </c>
      <c r="C12" s="131" t="s">
        <v>1023</v>
      </c>
      <c r="D12" s="131" t="s">
        <v>1097</v>
      </c>
      <c r="E12" s="131" t="s">
        <v>1098</v>
      </c>
      <c r="M12" s="131" t="s">
        <v>1489</v>
      </c>
      <c r="N12" s="131" t="s">
        <v>1555</v>
      </c>
      <c r="O12" s="127">
        <v>44683</v>
      </c>
      <c r="P12" s="127">
        <v>44700</v>
      </c>
      <c r="Q12" s="127">
        <v>44696</v>
      </c>
      <c r="R12" s="127">
        <v>44702</v>
      </c>
      <c r="S12" s="128">
        <v>21</v>
      </c>
      <c r="T12" s="128">
        <v>3</v>
      </c>
      <c r="U12" s="128">
        <v>4</v>
      </c>
      <c r="V12" s="129">
        <v>0</v>
      </c>
      <c r="W12" s="128">
        <v>0</v>
      </c>
      <c r="X12" s="130">
        <v>1</v>
      </c>
      <c r="Y12" s="130">
        <v>0.15384615384615385</v>
      </c>
      <c r="Z12" s="130">
        <v>1</v>
      </c>
      <c r="AC12" s="129">
        <v>4</v>
      </c>
    </row>
    <row r="13" spans="1:30">
      <c r="A13" s="131">
        <v>1</v>
      </c>
      <c r="B13" s="131" t="s">
        <v>1098</v>
      </c>
      <c r="C13" s="131" t="s">
        <v>1023</v>
      </c>
      <c r="D13" s="131" t="s">
        <v>1097</v>
      </c>
      <c r="E13" s="131" t="s">
        <v>1098</v>
      </c>
      <c r="M13" s="131" t="s">
        <v>1489</v>
      </c>
      <c r="N13" s="131" t="s">
        <v>1558</v>
      </c>
      <c r="O13" s="127">
        <v>44683</v>
      </c>
      <c r="P13" s="127">
        <v>44700</v>
      </c>
      <c r="Q13" s="127">
        <v>44696</v>
      </c>
      <c r="R13" s="127">
        <v>44702</v>
      </c>
      <c r="S13" s="128">
        <v>21</v>
      </c>
      <c r="T13" s="128">
        <v>3</v>
      </c>
      <c r="U13" s="128">
        <v>4</v>
      </c>
      <c r="V13" s="129">
        <v>0</v>
      </c>
      <c r="W13" s="128">
        <v>0</v>
      </c>
      <c r="X13" s="130">
        <v>1</v>
      </c>
      <c r="Y13" s="130">
        <v>0.15384615384615385</v>
      </c>
      <c r="Z13" s="130">
        <v>1</v>
      </c>
      <c r="AC13" s="129">
        <v>4</v>
      </c>
    </row>
    <row r="14" spans="1:30">
      <c r="A14" s="131">
        <v>1</v>
      </c>
      <c r="B14" s="131" t="s">
        <v>1098</v>
      </c>
      <c r="C14" s="131" t="s">
        <v>1023</v>
      </c>
      <c r="D14" s="131" t="s">
        <v>1097</v>
      </c>
      <c r="E14" s="131" t="s">
        <v>1098</v>
      </c>
      <c r="M14" s="131" t="s">
        <v>1489</v>
      </c>
      <c r="N14" s="131" t="s">
        <v>1570</v>
      </c>
      <c r="O14" s="127">
        <v>44683</v>
      </c>
      <c r="P14" s="127">
        <v>44700</v>
      </c>
      <c r="Q14" s="127">
        <v>44696</v>
      </c>
      <c r="R14" s="127">
        <v>44702</v>
      </c>
      <c r="S14" s="128">
        <v>21</v>
      </c>
      <c r="T14" s="128">
        <v>3</v>
      </c>
      <c r="U14" s="128">
        <v>4</v>
      </c>
      <c r="V14" s="129">
        <v>0</v>
      </c>
      <c r="W14" s="128">
        <v>0</v>
      </c>
      <c r="X14" s="130">
        <v>1</v>
      </c>
      <c r="Y14" s="130">
        <v>0.15384615384615385</v>
      </c>
      <c r="Z14" s="130">
        <v>1</v>
      </c>
      <c r="AC14" s="129">
        <v>4</v>
      </c>
    </row>
    <row r="15" spans="1:30">
      <c r="A15" s="131">
        <v>1</v>
      </c>
      <c r="B15" s="131" t="s">
        <v>1098</v>
      </c>
      <c r="C15" s="131" t="s">
        <v>1023</v>
      </c>
      <c r="D15" s="131" t="s">
        <v>1097</v>
      </c>
      <c r="E15" s="131" t="s">
        <v>1098</v>
      </c>
      <c r="M15" s="131" t="s">
        <v>1489</v>
      </c>
      <c r="N15" s="131" t="s">
        <v>1571</v>
      </c>
      <c r="O15" s="127">
        <v>44683</v>
      </c>
      <c r="P15" s="127">
        <v>44700</v>
      </c>
      <c r="Q15" s="127">
        <v>44696</v>
      </c>
      <c r="R15" s="127">
        <v>44702</v>
      </c>
      <c r="S15" s="128">
        <v>21</v>
      </c>
      <c r="T15" s="128">
        <v>3</v>
      </c>
      <c r="U15" s="128">
        <v>4</v>
      </c>
      <c r="V15" s="129">
        <v>0</v>
      </c>
      <c r="W15" s="128">
        <v>0</v>
      </c>
      <c r="X15" s="130">
        <v>1</v>
      </c>
      <c r="Y15" s="130">
        <v>0.15384615384615385</v>
      </c>
      <c r="Z15" s="130">
        <v>1</v>
      </c>
      <c r="AC15" s="129">
        <v>4</v>
      </c>
    </row>
    <row r="16" spans="1:30">
      <c r="A16" s="131">
        <v>1</v>
      </c>
      <c r="B16" s="131" t="s">
        <v>1098</v>
      </c>
      <c r="C16" s="131" t="s">
        <v>1023</v>
      </c>
      <c r="D16" s="131" t="s">
        <v>1097</v>
      </c>
      <c r="E16" s="131" t="s">
        <v>1098</v>
      </c>
      <c r="M16" s="131" t="s">
        <v>1489</v>
      </c>
      <c r="N16" s="131" t="s">
        <v>1572</v>
      </c>
      <c r="O16" s="127">
        <v>44683</v>
      </c>
      <c r="P16" s="127">
        <v>44700</v>
      </c>
      <c r="Q16" s="127">
        <v>44696</v>
      </c>
      <c r="R16" s="127">
        <v>44702</v>
      </c>
      <c r="S16" s="128">
        <v>21</v>
      </c>
      <c r="T16" s="128">
        <v>3</v>
      </c>
      <c r="U16" s="128">
        <v>4</v>
      </c>
      <c r="V16" s="129">
        <v>0</v>
      </c>
      <c r="W16" s="128">
        <v>0</v>
      </c>
      <c r="X16" s="130">
        <v>1</v>
      </c>
      <c r="Y16" s="130">
        <v>0.15384615384615385</v>
      </c>
      <c r="Z16" s="130">
        <v>1</v>
      </c>
      <c r="AC16" s="129">
        <v>4</v>
      </c>
    </row>
    <row r="17" spans="1:29">
      <c r="A17" s="131">
        <v>1</v>
      </c>
      <c r="B17" s="131" t="s">
        <v>1491</v>
      </c>
      <c r="C17" s="131" t="s">
        <v>1023</v>
      </c>
      <c r="D17" s="131" t="s">
        <v>1097</v>
      </c>
      <c r="E17" s="131" t="s">
        <v>1099</v>
      </c>
      <c r="F17" s="131" t="s">
        <v>1491</v>
      </c>
      <c r="M17" s="131" t="s">
        <v>1492</v>
      </c>
      <c r="N17" s="131" t="s">
        <v>1555</v>
      </c>
      <c r="O17" s="127">
        <v>44683</v>
      </c>
      <c r="P17" s="127">
        <v>44687</v>
      </c>
      <c r="Q17" s="127">
        <v>44683</v>
      </c>
      <c r="R17" s="127">
        <v>44688</v>
      </c>
      <c r="S17" s="128">
        <v>19</v>
      </c>
      <c r="T17" s="128">
        <v>1</v>
      </c>
      <c r="U17" s="128">
        <v>4</v>
      </c>
      <c r="V17" s="129">
        <v>2</v>
      </c>
      <c r="W17" s="128">
        <v>0</v>
      </c>
      <c r="X17" s="130">
        <v>1</v>
      </c>
      <c r="Y17" s="130">
        <v>0.5</v>
      </c>
      <c r="Z17" s="130">
        <v>0.9</v>
      </c>
      <c r="AC17" s="129">
        <v>3.6</v>
      </c>
    </row>
    <row r="18" spans="1:29">
      <c r="A18" s="131">
        <v>1</v>
      </c>
      <c r="B18" s="131" t="s">
        <v>1491</v>
      </c>
      <c r="C18" s="131" t="s">
        <v>1023</v>
      </c>
      <c r="D18" s="131" t="s">
        <v>1097</v>
      </c>
      <c r="E18" s="131" t="s">
        <v>1099</v>
      </c>
      <c r="F18" s="131" t="s">
        <v>1491</v>
      </c>
      <c r="M18" s="131" t="s">
        <v>1492</v>
      </c>
      <c r="N18" s="131" t="s">
        <v>1558</v>
      </c>
      <c r="O18" s="127">
        <v>44683</v>
      </c>
      <c r="P18" s="127">
        <v>44687</v>
      </c>
      <c r="Q18" s="127">
        <v>44683</v>
      </c>
      <c r="R18" s="127">
        <v>44688</v>
      </c>
      <c r="S18" s="128">
        <v>19</v>
      </c>
      <c r="T18" s="128">
        <v>1</v>
      </c>
      <c r="U18" s="128">
        <v>4</v>
      </c>
      <c r="V18" s="129">
        <v>2</v>
      </c>
      <c r="W18" s="128">
        <v>0</v>
      </c>
      <c r="X18" s="130">
        <v>1</v>
      </c>
      <c r="Y18" s="130">
        <v>0.5</v>
      </c>
      <c r="Z18" s="130">
        <v>0.9</v>
      </c>
      <c r="AC18" s="129">
        <v>3.6</v>
      </c>
    </row>
    <row r="19" spans="1:29">
      <c r="A19" s="131">
        <v>1</v>
      </c>
      <c r="B19" s="131" t="s">
        <v>1491</v>
      </c>
      <c r="C19" s="131" t="s">
        <v>1023</v>
      </c>
      <c r="D19" s="131" t="s">
        <v>1097</v>
      </c>
      <c r="E19" s="131" t="s">
        <v>1099</v>
      </c>
      <c r="F19" s="131" t="s">
        <v>1491</v>
      </c>
      <c r="M19" s="131" t="s">
        <v>1492</v>
      </c>
      <c r="N19" s="131" t="s">
        <v>1570</v>
      </c>
      <c r="O19" s="127">
        <v>44683</v>
      </c>
      <c r="P19" s="127">
        <v>44687</v>
      </c>
      <c r="Q19" s="127">
        <v>44683</v>
      </c>
      <c r="R19" s="127">
        <v>44688</v>
      </c>
      <c r="S19" s="128">
        <v>19</v>
      </c>
      <c r="T19" s="128">
        <v>1</v>
      </c>
      <c r="U19" s="128">
        <v>4</v>
      </c>
      <c r="V19" s="129">
        <v>2</v>
      </c>
      <c r="W19" s="128">
        <v>0</v>
      </c>
      <c r="X19" s="130">
        <v>1</v>
      </c>
      <c r="Y19" s="130">
        <v>0.5</v>
      </c>
      <c r="Z19" s="130">
        <v>0.9</v>
      </c>
      <c r="AC19" s="129">
        <v>3.6</v>
      </c>
    </row>
    <row r="20" spans="1:29">
      <c r="A20" s="131">
        <v>1</v>
      </c>
      <c r="B20" s="131" t="s">
        <v>1491</v>
      </c>
      <c r="C20" s="131" t="s">
        <v>1023</v>
      </c>
      <c r="D20" s="131" t="s">
        <v>1097</v>
      </c>
      <c r="E20" s="131" t="s">
        <v>1099</v>
      </c>
      <c r="F20" s="131" t="s">
        <v>1491</v>
      </c>
      <c r="M20" s="131" t="s">
        <v>1492</v>
      </c>
      <c r="N20" s="131" t="s">
        <v>1571</v>
      </c>
      <c r="O20" s="127">
        <v>44683</v>
      </c>
      <c r="P20" s="127">
        <v>44687</v>
      </c>
      <c r="Q20" s="127">
        <v>44683</v>
      </c>
      <c r="R20" s="127">
        <v>44688</v>
      </c>
      <c r="S20" s="128">
        <v>19</v>
      </c>
      <c r="T20" s="128">
        <v>1</v>
      </c>
      <c r="U20" s="128">
        <v>4</v>
      </c>
      <c r="V20" s="129">
        <v>2</v>
      </c>
      <c r="W20" s="128">
        <v>0</v>
      </c>
      <c r="X20" s="130">
        <v>1</v>
      </c>
      <c r="Y20" s="130">
        <v>0.5</v>
      </c>
      <c r="Z20" s="130">
        <v>0.9</v>
      </c>
      <c r="AC20" s="129">
        <v>3.6</v>
      </c>
    </row>
    <row r="21" spans="1:29">
      <c r="A21" s="131">
        <v>1</v>
      </c>
      <c r="B21" s="131" t="s">
        <v>1491</v>
      </c>
      <c r="C21" s="131" t="s">
        <v>1023</v>
      </c>
      <c r="D21" s="131" t="s">
        <v>1097</v>
      </c>
      <c r="E21" s="131" t="s">
        <v>1099</v>
      </c>
      <c r="F21" s="131" t="s">
        <v>1491</v>
      </c>
      <c r="M21" s="131" t="s">
        <v>1492</v>
      </c>
      <c r="N21" s="131" t="s">
        <v>1572</v>
      </c>
      <c r="O21" s="127">
        <v>44683</v>
      </c>
      <c r="P21" s="127">
        <v>44687</v>
      </c>
      <c r="Q21" s="127">
        <v>44683</v>
      </c>
      <c r="R21" s="127">
        <v>44688</v>
      </c>
      <c r="S21" s="128">
        <v>19</v>
      </c>
      <c r="T21" s="128">
        <v>1</v>
      </c>
      <c r="U21" s="128">
        <v>4</v>
      </c>
      <c r="V21" s="129">
        <v>2</v>
      </c>
      <c r="W21" s="128">
        <v>0</v>
      </c>
      <c r="X21" s="130">
        <v>1</v>
      </c>
      <c r="Y21" s="130">
        <v>0.5</v>
      </c>
      <c r="Z21" s="130">
        <v>0.9</v>
      </c>
      <c r="AC21" s="129">
        <v>3.6</v>
      </c>
    </row>
    <row r="22" spans="1:29">
      <c r="A22" s="131">
        <v>1</v>
      </c>
      <c r="B22" s="131" t="s">
        <v>1493</v>
      </c>
      <c r="C22" s="131" t="s">
        <v>1023</v>
      </c>
      <c r="D22" s="131" t="s">
        <v>1097</v>
      </c>
      <c r="E22" s="131" t="s">
        <v>1099</v>
      </c>
      <c r="F22" s="131" t="s">
        <v>1493</v>
      </c>
      <c r="M22" s="131" t="s">
        <v>1494</v>
      </c>
      <c r="N22" s="131" t="s">
        <v>1555</v>
      </c>
      <c r="O22" s="127">
        <v>44690</v>
      </c>
      <c r="P22" s="127">
        <v>44690</v>
      </c>
      <c r="Q22" s="127">
        <v>44689</v>
      </c>
      <c r="R22" s="127">
        <v>44695</v>
      </c>
      <c r="S22" s="128">
        <v>20</v>
      </c>
      <c r="T22" s="128">
        <v>2</v>
      </c>
      <c r="U22" s="128">
        <v>0</v>
      </c>
      <c r="V22" s="129">
        <v>0</v>
      </c>
      <c r="W22" s="128">
        <v>0</v>
      </c>
      <c r="X22" s="130">
        <v>0</v>
      </c>
      <c r="Y22" s="130">
        <v>0</v>
      </c>
      <c r="Z22" s="130">
        <v>0</v>
      </c>
      <c r="AC22" s="129">
        <v>0</v>
      </c>
    </row>
    <row r="23" spans="1:29">
      <c r="A23" s="131">
        <v>1</v>
      </c>
      <c r="B23" s="131" t="s">
        <v>1493</v>
      </c>
      <c r="C23" s="131" t="s">
        <v>1023</v>
      </c>
      <c r="D23" s="131" t="s">
        <v>1097</v>
      </c>
      <c r="E23" s="131" t="s">
        <v>1099</v>
      </c>
      <c r="F23" s="131" t="s">
        <v>1493</v>
      </c>
      <c r="M23" s="131" t="s">
        <v>1494</v>
      </c>
      <c r="N23" s="131" t="s">
        <v>1558</v>
      </c>
      <c r="O23" s="127">
        <v>44690</v>
      </c>
      <c r="P23" s="127">
        <v>44690</v>
      </c>
      <c r="Q23" s="127">
        <v>44689</v>
      </c>
      <c r="R23" s="127">
        <v>44695</v>
      </c>
      <c r="S23" s="128">
        <v>20</v>
      </c>
      <c r="T23" s="128">
        <v>2</v>
      </c>
      <c r="U23" s="128">
        <v>0</v>
      </c>
      <c r="V23" s="129">
        <v>0</v>
      </c>
      <c r="W23" s="128">
        <v>0</v>
      </c>
      <c r="X23" s="130">
        <v>0</v>
      </c>
      <c r="Y23" s="130">
        <v>0</v>
      </c>
      <c r="Z23" s="130">
        <v>0</v>
      </c>
      <c r="AC23" s="129">
        <v>0</v>
      </c>
    </row>
    <row r="24" spans="1:29">
      <c r="A24" s="131">
        <v>1</v>
      </c>
      <c r="B24" s="131" t="s">
        <v>1493</v>
      </c>
      <c r="C24" s="131" t="s">
        <v>1023</v>
      </c>
      <c r="D24" s="131" t="s">
        <v>1097</v>
      </c>
      <c r="E24" s="131" t="s">
        <v>1099</v>
      </c>
      <c r="F24" s="131" t="s">
        <v>1493</v>
      </c>
      <c r="M24" s="131" t="s">
        <v>1494</v>
      </c>
      <c r="N24" s="131" t="s">
        <v>1570</v>
      </c>
      <c r="O24" s="127">
        <v>44690</v>
      </c>
      <c r="P24" s="127">
        <v>44690</v>
      </c>
      <c r="Q24" s="127">
        <v>44689</v>
      </c>
      <c r="R24" s="127">
        <v>44695</v>
      </c>
      <c r="S24" s="128">
        <v>20</v>
      </c>
      <c r="T24" s="128">
        <v>2</v>
      </c>
      <c r="U24" s="128">
        <v>0</v>
      </c>
      <c r="V24" s="129">
        <v>0</v>
      </c>
      <c r="W24" s="128">
        <v>0</v>
      </c>
      <c r="X24" s="130">
        <v>0</v>
      </c>
      <c r="Y24" s="130">
        <v>0</v>
      </c>
      <c r="Z24" s="130">
        <v>0</v>
      </c>
      <c r="AC24" s="129">
        <v>0</v>
      </c>
    </row>
    <row r="25" spans="1:29">
      <c r="A25" s="131">
        <v>1</v>
      </c>
      <c r="B25" s="131" t="s">
        <v>1493</v>
      </c>
      <c r="C25" s="131" t="s">
        <v>1023</v>
      </c>
      <c r="D25" s="131" t="s">
        <v>1097</v>
      </c>
      <c r="E25" s="131" t="s">
        <v>1099</v>
      </c>
      <c r="F25" s="131" t="s">
        <v>1493</v>
      </c>
      <c r="M25" s="131" t="s">
        <v>1494</v>
      </c>
      <c r="N25" s="131" t="s">
        <v>1571</v>
      </c>
      <c r="O25" s="127">
        <v>44690</v>
      </c>
      <c r="P25" s="127">
        <v>44690</v>
      </c>
      <c r="Q25" s="127">
        <v>44689</v>
      </c>
      <c r="R25" s="127">
        <v>44695</v>
      </c>
      <c r="S25" s="128">
        <v>20</v>
      </c>
      <c r="T25" s="128">
        <v>2</v>
      </c>
      <c r="U25" s="128">
        <v>0</v>
      </c>
      <c r="V25" s="129">
        <v>0</v>
      </c>
      <c r="W25" s="128">
        <v>0</v>
      </c>
      <c r="X25" s="130">
        <v>0</v>
      </c>
      <c r="Y25" s="130">
        <v>0</v>
      </c>
      <c r="Z25" s="130">
        <v>0</v>
      </c>
      <c r="AC25" s="129">
        <v>0</v>
      </c>
    </row>
    <row r="26" spans="1:29">
      <c r="A26" s="131">
        <v>1</v>
      </c>
      <c r="B26" s="131" t="s">
        <v>1493</v>
      </c>
      <c r="C26" s="131" t="s">
        <v>1023</v>
      </c>
      <c r="D26" s="131" t="s">
        <v>1097</v>
      </c>
      <c r="E26" s="131" t="s">
        <v>1099</v>
      </c>
      <c r="F26" s="131" t="s">
        <v>1493</v>
      </c>
      <c r="M26" s="131" t="s">
        <v>1494</v>
      </c>
      <c r="N26" s="131" t="s">
        <v>1572</v>
      </c>
      <c r="O26" s="127">
        <v>44690</v>
      </c>
      <c r="P26" s="127">
        <v>44690</v>
      </c>
      <c r="Q26" s="127">
        <v>44689</v>
      </c>
      <c r="R26" s="127">
        <v>44695</v>
      </c>
      <c r="S26" s="128">
        <v>20</v>
      </c>
      <c r="T26" s="128">
        <v>2</v>
      </c>
      <c r="U26" s="128">
        <v>0</v>
      </c>
      <c r="V26" s="129">
        <v>0</v>
      </c>
      <c r="W26" s="128">
        <v>0</v>
      </c>
      <c r="X26" s="130">
        <v>0</v>
      </c>
      <c r="Y26" s="130">
        <v>0</v>
      </c>
      <c r="Z26" s="130">
        <v>0</v>
      </c>
      <c r="AC26" s="129">
        <v>0</v>
      </c>
    </row>
    <row r="27" spans="1:29">
      <c r="A27" s="131">
        <v>1</v>
      </c>
      <c r="B27" s="131" t="s">
        <v>1101</v>
      </c>
      <c r="C27" s="131" t="s">
        <v>1023</v>
      </c>
      <c r="D27" s="131" t="s">
        <v>1100</v>
      </c>
      <c r="E27" s="131" t="s">
        <v>1101</v>
      </c>
      <c r="M27" s="131" t="s">
        <v>1536</v>
      </c>
      <c r="N27" s="131" t="s">
        <v>1558</v>
      </c>
      <c r="O27" s="127">
        <v>44691</v>
      </c>
      <c r="P27" s="127">
        <v>44691</v>
      </c>
      <c r="Q27" s="127">
        <v>44689</v>
      </c>
      <c r="R27" s="127">
        <v>44695</v>
      </c>
      <c r="S27" s="128">
        <v>20</v>
      </c>
      <c r="T27" s="128">
        <v>2</v>
      </c>
      <c r="U27" s="128">
        <v>1</v>
      </c>
      <c r="V27" s="129">
        <v>0</v>
      </c>
      <c r="W27" s="128">
        <v>0</v>
      </c>
      <c r="X27" s="130">
        <v>1</v>
      </c>
      <c r="Y27" s="130">
        <v>0</v>
      </c>
      <c r="Z27" s="130">
        <v>0.5</v>
      </c>
      <c r="AC27" s="129">
        <v>0.5</v>
      </c>
    </row>
    <row r="28" spans="1:29">
      <c r="A28" s="131">
        <v>1</v>
      </c>
      <c r="B28" s="131" t="s">
        <v>1103</v>
      </c>
      <c r="C28" s="131" t="s">
        <v>1023</v>
      </c>
      <c r="D28" s="131" t="s">
        <v>1102</v>
      </c>
      <c r="E28" s="131" t="s">
        <v>1103</v>
      </c>
      <c r="M28" s="131" t="s">
        <v>1497</v>
      </c>
      <c r="N28" s="131" t="s">
        <v>1558</v>
      </c>
      <c r="O28" s="127">
        <v>44700</v>
      </c>
      <c r="P28" s="127">
        <v>44700</v>
      </c>
      <c r="Q28" s="127">
        <v>44696</v>
      </c>
      <c r="R28" s="127">
        <v>44702</v>
      </c>
      <c r="S28" s="128">
        <v>21</v>
      </c>
      <c r="T28" s="128">
        <v>3</v>
      </c>
      <c r="U28" s="128">
        <v>1</v>
      </c>
      <c r="V28" s="129">
        <v>0</v>
      </c>
      <c r="W28" s="128">
        <v>0</v>
      </c>
      <c r="X28" s="130">
        <v>1</v>
      </c>
      <c r="Y28" s="130">
        <v>0</v>
      </c>
      <c r="Z28" s="130">
        <v>0</v>
      </c>
      <c r="AC28" s="129">
        <v>0</v>
      </c>
    </row>
    <row r="29" spans="1:29">
      <c r="A29" s="131">
        <v>1</v>
      </c>
      <c r="B29" s="131" t="s">
        <v>1123</v>
      </c>
      <c r="C29" s="131" t="s">
        <v>1023</v>
      </c>
      <c r="D29" s="131" t="s">
        <v>1102</v>
      </c>
      <c r="E29" s="131" t="s">
        <v>1123</v>
      </c>
      <c r="M29" s="131" t="s">
        <v>1498</v>
      </c>
      <c r="N29" s="131" t="s">
        <v>1555</v>
      </c>
      <c r="O29" s="127">
        <v>44700</v>
      </c>
      <c r="P29" s="127">
        <v>44700</v>
      </c>
      <c r="Q29" s="127">
        <v>44696</v>
      </c>
      <c r="R29" s="127">
        <v>44702</v>
      </c>
      <c r="S29" s="128">
        <v>21</v>
      </c>
      <c r="T29" s="128">
        <v>3</v>
      </c>
      <c r="U29" s="128">
        <v>0</v>
      </c>
      <c r="V29" s="129">
        <v>0</v>
      </c>
      <c r="W29" s="128">
        <v>0</v>
      </c>
      <c r="X29" s="130">
        <v>0</v>
      </c>
      <c r="Y29" s="130">
        <v>0</v>
      </c>
      <c r="Z29" s="130">
        <v>0</v>
      </c>
      <c r="AC29" s="129">
        <v>0</v>
      </c>
    </row>
    <row r="30" spans="1:29">
      <c r="A30" s="131">
        <v>1</v>
      </c>
      <c r="B30" s="131" t="s">
        <v>1123</v>
      </c>
      <c r="C30" s="131" t="s">
        <v>1023</v>
      </c>
      <c r="D30" s="131" t="s">
        <v>1102</v>
      </c>
      <c r="E30" s="131" t="s">
        <v>1123</v>
      </c>
      <c r="M30" s="131" t="s">
        <v>1498</v>
      </c>
      <c r="N30" s="131" t="s">
        <v>1558</v>
      </c>
      <c r="O30" s="127">
        <v>44700</v>
      </c>
      <c r="P30" s="127">
        <v>44700</v>
      </c>
      <c r="Q30" s="127">
        <v>44696</v>
      </c>
      <c r="R30" s="127">
        <v>44702</v>
      </c>
      <c r="S30" s="128">
        <v>21</v>
      </c>
      <c r="T30" s="128">
        <v>3</v>
      </c>
      <c r="U30" s="128">
        <v>0</v>
      </c>
      <c r="V30" s="129">
        <v>0</v>
      </c>
      <c r="W30" s="128">
        <v>0</v>
      </c>
      <c r="X30" s="130">
        <v>0</v>
      </c>
      <c r="Y30" s="130">
        <v>0</v>
      </c>
      <c r="Z30" s="130">
        <v>0</v>
      </c>
      <c r="AC30" s="129">
        <v>0</v>
      </c>
    </row>
    <row r="31" spans="1:29">
      <c r="A31" s="131">
        <v>1</v>
      </c>
      <c r="B31" s="131" t="s">
        <v>1123</v>
      </c>
      <c r="C31" s="131" t="s">
        <v>1023</v>
      </c>
      <c r="D31" s="131" t="s">
        <v>1102</v>
      </c>
      <c r="E31" s="131" t="s">
        <v>1123</v>
      </c>
      <c r="M31" s="131" t="s">
        <v>1498</v>
      </c>
      <c r="N31" s="131" t="s">
        <v>1570</v>
      </c>
      <c r="O31" s="127">
        <v>44700</v>
      </c>
      <c r="P31" s="127">
        <v>44700</v>
      </c>
      <c r="Q31" s="127">
        <v>44696</v>
      </c>
      <c r="R31" s="127">
        <v>44702</v>
      </c>
      <c r="S31" s="128">
        <v>21</v>
      </c>
      <c r="T31" s="128">
        <v>3</v>
      </c>
      <c r="U31" s="128">
        <v>0</v>
      </c>
      <c r="V31" s="129">
        <v>0</v>
      </c>
      <c r="W31" s="128">
        <v>0</v>
      </c>
      <c r="X31" s="130">
        <v>0</v>
      </c>
      <c r="Y31" s="130">
        <v>0</v>
      </c>
      <c r="Z31" s="130">
        <v>0</v>
      </c>
      <c r="AC31" s="129">
        <v>0</v>
      </c>
    </row>
    <row r="32" spans="1:29">
      <c r="A32" s="131">
        <v>1</v>
      </c>
      <c r="B32" s="131" t="s">
        <v>1123</v>
      </c>
      <c r="C32" s="131" t="s">
        <v>1023</v>
      </c>
      <c r="D32" s="131" t="s">
        <v>1102</v>
      </c>
      <c r="E32" s="131" t="s">
        <v>1123</v>
      </c>
      <c r="M32" s="131" t="s">
        <v>1498</v>
      </c>
      <c r="N32" s="131" t="s">
        <v>1571</v>
      </c>
      <c r="O32" s="127">
        <v>44700</v>
      </c>
      <c r="P32" s="127">
        <v>44700</v>
      </c>
      <c r="Q32" s="127">
        <v>44696</v>
      </c>
      <c r="R32" s="127">
        <v>44702</v>
      </c>
      <c r="S32" s="128">
        <v>21</v>
      </c>
      <c r="T32" s="128">
        <v>3</v>
      </c>
      <c r="U32" s="128">
        <v>0</v>
      </c>
      <c r="V32" s="129">
        <v>0</v>
      </c>
      <c r="W32" s="128">
        <v>0</v>
      </c>
      <c r="X32" s="130">
        <v>0</v>
      </c>
      <c r="Y32" s="130">
        <v>0</v>
      </c>
      <c r="Z32" s="130">
        <v>0</v>
      </c>
      <c r="AC32" s="129">
        <v>0</v>
      </c>
    </row>
    <row r="33" spans="1:29">
      <c r="A33" s="131">
        <v>1</v>
      </c>
      <c r="B33" s="131" t="s">
        <v>1123</v>
      </c>
      <c r="C33" s="131" t="s">
        <v>1023</v>
      </c>
      <c r="D33" s="131" t="s">
        <v>1102</v>
      </c>
      <c r="E33" s="131" t="s">
        <v>1123</v>
      </c>
      <c r="M33" s="131" t="s">
        <v>1498</v>
      </c>
      <c r="N33" s="131" t="s">
        <v>1572</v>
      </c>
      <c r="O33" s="127">
        <v>44700</v>
      </c>
      <c r="P33" s="127">
        <v>44700</v>
      </c>
      <c r="Q33" s="127">
        <v>44696</v>
      </c>
      <c r="R33" s="127">
        <v>44702</v>
      </c>
      <c r="S33" s="128">
        <v>21</v>
      </c>
      <c r="T33" s="128">
        <v>3</v>
      </c>
      <c r="U33" s="128">
        <v>0</v>
      </c>
      <c r="V33" s="129">
        <v>0</v>
      </c>
      <c r="W33" s="128">
        <v>0</v>
      </c>
      <c r="X33" s="130">
        <v>0</v>
      </c>
      <c r="Y33" s="130">
        <v>0</v>
      </c>
      <c r="Z33" s="130">
        <v>0</v>
      </c>
      <c r="AC33" s="129">
        <v>0</v>
      </c>
    </row>
    <row r="34" spans="1:29">
      <c r="A34" s="131">
        <v>1</v>
      </c>
      <c r="B34" s="131" t="s">
        <v>1500</v>
      </c>
      <c r="C34" s="131" t="s">
        <v>1087</v>
      </c>
      <c r="D34" s="131" t="s">
        <v>1521</v>
      </c>
      <c r="E34" s="131" t="s">
        <v>1500</v>
      </c>
      <c r="M34" s="131" t="s">
        <v>1501</v>
      </c>
      <c r="N34" s="131" t="s">
        <v>1570</v>
      </c>
      <c r="O34" s="127">
        <v>44683</v>
      </c>
      <c r="P34" s="127">
        <v>44687</v>
      </c>
      <c r="Q34" s="127">
        <v>44683</v>
      </c>
      <c r="R34" s="127">
        <v>44688</v>
      </c>
      <c r="S34" s="128">
        <v>19</v>
      </c>
      <c r="T34" s="128">
        <v>1</v>
      </c>
      <c r="U34" s="128">
        <v>4</v>
      </c>
      <c r="V34" s="129">
        <v>2</v>
      </c>
      <c r="W34" s="128">
        <v>0</v>
      </c>
      <c r="X34" s="130">
        <v>1</v>
      </c>
      <c r="Y34" s="130">
        <v>0.5</v>
      </c>
      <c r="Z34" s="130">
        <v>1</v>
      </c>
      <c r="AC34" s="129">
        <v>4</v>
      </c>
    </row>
    <row r="35" spans="1:29">
      <c r="A35" s="131">
        <v>1</v>
      </c>
      <c r="B35" s="131" t="s">
        <v>1500</v>
      </c>
      <c r="C35" s="131" t="s">
        <v>1087</v>
      </c>
      <c r="D35" s="131" t="s">
        <v>1521</v>
      </c>
      <c r="E35" s="131" t="s">
        <v>1500</v>
      </c>
      <c r="M35" s="131" t="s">
        <v>1501</v>
      </c>
      <c r="N35" s="131" t="s">
        <v>1558</v>
      </c>
      <c r="O35" s="127">
        <v>44683</v>
      </c>
      <c r="P35" s="127">
        <v>44687</v>
      </c>
      <c r="Q35" s="127">
        <v>44683</v>
      </c>
      <c r="R35" s="127">
        <v>44688</v>
      </c>
      <c r="S35" s="128">
        <v>19</v>
      </c>
      <c r="T35" s="128">
        <v>1</v>
      </c>
      <c r="U35" s="128">
        <v>4</v>
      </c>
      <c r="V35" s="129">
        <v>2</v>
      </c>
      <c r="W35" s="128">
        <v>0</v>
      </c>
      <c r="X35" s="130">
        <v>1</v>
      </c>
      <c r="Y35" s="130">
        <v>0.5</v>
      </c>
      <c r="Z35" s="130">
        <v>1</v>
      </c>
      <c r="AC35" s="129">
        <v>4</v>
      </c>
    </row>
    <row r="36" spans="1:29">
      <c r="A36" s="131">
        <v>1</v>
      </c>
      <c r="B36" s="131" t="s">
        <v>1503</v>
      </c>
      <c r="C36" s="131" t="s">
        <v>1087</v>
      </c>
      <c r="D36" s="131" t="s">
        <v>1521</v>
      </c>
      <c r="E36" s="131" t="s">
        <v>1502</v>
      </c>
      <c r="F36" s="131" t="s">
        <v>1503</v>
      </c>
      <c r="M36" s="131" t="s">
        <v>1540</v>
      </c>
      <c r="N36" s="131" t="s">
        <v>1558</v>
      </c>
      <c r="O36" s="127">
        <v>44683</v>
      </c>
      <c r="P36" s="127">
        <v>44687</v>
      </c>
      <c r="Q36" s="127">
        <v>44683</v>
      </c>
      <c r="R36" s="127">
        <v>44688</v>
      </c>
      <c r="S36" s="128">
        <v>19</v>
      </c>
      <c r="T36" s="128">
        <v>1</v>
      </c>
      <c r="U36" s="128">
        <v>4</v>
      </c>
      <c r="V36" s="129">
        <v>2</v>
      </c>
      <c r="W36" s="128">
        <v>0</v>
      </c>
      <c r="X36" s="130">
        <v>1</v>
      </c>
      <c r="Y36" s="130">
        <v>0.5</v>
      </c>
      <c r="Z36" s="130">
        <v>0.2</v>
      </c>
      <c r="AC36" s="129">
        <v>0.8</v>
      </c>
    </row>
    <row r="37" spans="1:29">
      <c r="A37" s="131">
        <v>3</v>
      </c>
      <c r="B37" s="131" t="s">
        <v>1503</v>
      </c>
      <c r="C37" s="131" t="s">
        <v>1087</v>
      </c>
      <c r="D37" s="131" t="s">
        <v>1521</v>
      </c>
      <c r="E37" s="131" t="s">
        <v>1502</v>
      </c>
      <c r="F37" s="131" t="s">
        <v>1503</v>
      </c>
      <c r="M37" s="131" t="s">
        <v>1540</v>
      </c>
      <c r="N37" s="131" t="s">
        <v>1570</v>
      </c>
      <c r="O37" s="127">
        <v>44683</v>
      </c>
      <c r="P37" s="127">
        <v>44687</v>
      </c>
      <c r="Q37" s="127">
        <v>44683</v>
      </c>
      <c r="R37" s="127">
        <v>44688</v>
      </c>
      <c r="S37" s="128">
        <v>19</v>
      </c>
      <c r="T37" s="128">
        <v>1</v>
      </c>
      <c r="U37" s="128">
        <v>4</v>
      </c>
      <c r="V37" s="129">
        <v>2</v>
      </c>
      <c r="W37" s="128">
        <v>0</v>
      </c>
      <c r="X37" s="130">
        <v>1</v>
      </c>
      <c r="Y37" s="130">
        <v>0.5</v>
      </c>
      <c r="Z37" s="130">
        <v>0.2</v>
      </c>
      <c r="AC37" s="129">
        <v>0.8</v>
      </c>
    </row>
    <row r="38" spans="1:29">
      <c r="A38" s="131">
        <v>3</v>
      </c>
      <c r="B38" s="131" t="s">
        <v>1503</v>
      </c>
      <c r="C38" s="131" t="s">
        <v>1087</v>
      </c>
      <c r="D38" s="131" t="s">
        <v>1521</v>
      </c>
      <c r="E38" s="131" t="s">
        <v>1502</v>
      </c>
      <c r="F38" s="131" t="s">
        <v>1503</v>
      </c>
      <c r="M38" s="131" t="s">
        <v>1540</v>
      </c>
      <c r="N38" s="131" t="s">
        <v>1571</v>
      </c>
      <c r="O38" s="127">
        <v>44683</v>
      </c>
      <c r="P38" s="127">
        <v>44687</v>
      </c>
      <c r="Q38" s="127">
        <v>44683</v>
      </c>
      <c r="R38" s="127">
        <v>44688</v>
      </c>
      <c r="S38" s="128">
        <v>19</v>
      </c>
      <c r="T38" s="128">
        <v>1</v>
      </c>
      <c r="U38" s="128">
        <v>4</v>
      </c>
      <c r="V38" s="129">
        <v>2</v>
      </c>
      <c r="W38" s="128">
        <v>0</v>
      </c>
      <c r="X38" s="130">
        <v>1</v>
      </c>
      <c r="Y38" s="130">
        <v>0.5</v>
      </c>
      <c r="Z38" s="130">
        <v>0.2</v>
      </c>
      <c r="AC38" s="129">
        <v>0.8</v>
      </c>
    </row>
    <row r="39" spans="1:29">
      <c r="A39" s="131">
        <v>3</v>
      </c>
      <c r="B39" s="131" t="s">
        <v>1503</v>
      </c>
      <c r="C39" s="131" t="s">
        <v>1087</v>
      </c>
      <c r="D39" s="131" t="s">
        <v>1521</v>
      </c>
      <c r="E39" s="131" t="s">
        <v>1502</v>
      </c>
      <c r="F39" s="131" t="s">
        <v>1503</v>
      </c>
      <c r="M39" s="131" t="s">
        <v>1540</v>
      </c>
      <c r="N39" s="131" t="s">
        <v>1572</v>
      </c>
      <c r="O39" s="127">
        <v>44683</v>
      </c>
      <c r="P39" s="127">
        <v>44687</v>
      </c>
      <c r="Q39" s="127">
        <v>44683</v>
      </c>
      <c r="R39" s="127">
        <v>44688</v>
      </c>
      <c r="S39" s="128">
        <v>19</v>
      </c>
      <c r="T39" s="128">
        <v>1</v>
      </c>
      <c r="U39" s="128">
        <v>4</v>
      </c>
      <c r="V39" s="129">
        <v>2</v>
      </c>
      <c r="W39" s="128">
        <v>0</v>
      </c>
      <c r="X39" s="130">
        <v>1</v>
      </c>
      <c r="Y39" s="130">
        <v>0.5</v>
      </c>
      <c r="Z39" s="130">
        <v>0.2</v>
      </c>
      <c r="AC39" s="129">
        <v>0.8</v>
      </c>
    </row>
    <row r="40" spans="1:29">
      <c r="A40" s="131">
        <v>3</v>
      </c>
      <c r="B40" s="131" t="s">
        <v>1504</v>
      </c>
      <c r="C40" s="131" t="s">
        <v>1087</v>
      </c>
      <c r="D40" s="131" t="s">
        <v>1521</v>
      </c>
      <c r="E40" s="131" t="s">
        <v>1502</v>
      </c>
      <c r="F40" s="131" t="s">
        <v>1504</v>
      </c>
      <c r="M40" s="131" t="s">
        <v>1535</v>
      </c>
      <c r="N40" s="131" t="s">
        <v>1558</v>
      </c>
      <c r="O40" s="127">
        <v>44683</v>
      </c>
      <c r="P40" s="127">
        <v>44687</v>
      </c>
      <c r="Q40" s="127">
        <v>44683</v>
      </c>
      <c r="R40" s="127">
        <v>44688</v>
      </c>
      <c r="S40" s="128">
        <v>19</v>
      </c>
      <c r="T40" s="128">
        <v>1</v>
      </c>
      <c r="U40" s="128">
        <v>4</v>
      </c>
      <c r="V40" s="129">
        <v>2</v>
      </c>
      <c r="W40" s="128">
        <v>0</v>
      </c>
      <c r="X40" s="130">
        <v>1</v>
      </c>
      <c r="Y40" s="130">
        <v>0.5</v>
      </c>
      <c r="Z40" s="130">
        <v>0</v>
      </c>
      <c r="AC40" s="129">
        <v>0</v>
      </c>
    </row>
    <row r="41" spans="1:29">
      <c r="A41" s="131">
        <v>3</v>
      </c>
      <c r="B41" s="131" t="s">
        <v>1504</v>
      </c>
      <c r="C41" s="131" t="s">
        <v>1087</v>
      </c>
      <c r="D41" s="131" t="s">
        <v>1521</v>
      </c>
      <c r="E41" s="131" t="s">
        <v>1502</v>
      </c>
      <c r="F41" s="131" t="s">
        <v>1504</v>
      </c>
      <c r="M41" s="131" t="s">
        <v>1535</v>
      </c>
      <c r="N41" s="131" t="s">
        <v>1570</v>
      </c>
      <c r="O41" s="127">
        <v>44683</v>
      </c>
      <c r="P41" s="127">
        <v>44687</v>
      </c>
      <c r="Q41" s="127">
        <v>44683</v>
      </c>
      <c r="R41" s="127">
        <v>44688</v>
      </c>
      <c r="S41" s="128">
        <v>19</v>
      </c>
      <c r="T41" s="128">
        <v>1</v>
      </c>
      <c r="U41" s="128">
        <v>4</v>
      </c>
      <c r="V41" s="129">
        <v>2</v>
      </c>
      <c r="W41" s="128">
        <v>0</v>
      </c>
      <c r="X41" s="130">
        <v>1</v>
      </c>
      <c r="Y41" s="130">
        <v>0.5</v>
      </c>
      <c r="Z41" s="130">
        <v>0</v>
      </c>
      <c r="AC41" s="129">
        <v>0</v>
      </c>
    </row>
    <row r="42" spans="1:29">
      <c r="A42" s="131">
        <v>3</v>
      </c>
      <c r="B42" s="131" t="s">
        <v>1504</v>
      </c>
      <c r="C42" s="131" t="s">
        <v>1087</v>
      </c>
      <c r="D42" s="131" t="s">
        <v>1521</v>
      </c>
      <c r="E42" s="131" t="s">
        <v>1502</v>
      </c>
      <c r="F42" s="131" t="s">
        <v>1504</v>
      </c>
      <c r="M42" s="131" t="s">
        <v>1535</v>
      </c>
      <c r="N42" s="131" t="s">
        <v>1571</v>
      </c>
      <c r="O42" s="127">
        <v>44683</v>
      </c>
      <c r="P42" s="127">
        <v>44687</v>
      </c>
      <c r="Q42" s="127">
        <v>44683</v>
      </c>
      <c r="R42" s="127">
        <v>44688</v>
      </c>
      <c r="S42" s="128">
        <v>19</v>
      </c>
      <c r="T42" s="128">
        <v>1</v>
      </c>
      <c r="U42" s="128">
        <v>4</v>
      </c>
      <c r="V42" s="129">
        <v>2</v>
      </c>
      <c r="W42" s="128">
        <v>0</v>
      </c>
      <c r="X42" s="130">
        <v>1</v>
      </c>
      <c r="Y42" s="130">
        <v>0.5</v>
      </c>
      <c r="Z42" s="130">
        <v>0</v>
      </c>
      <c r="AC42" s="129">
        <v>0</v>
      </c>
    </row>
    <row r="43" spans="1:29">
      <c r="A43" s="131">
        <v>3</v>
      </c>
      <c r="B43" s="131" t="s">
        <v>1504</v>
      </c>
      <c r="C43" s="131" t="s">
        <v>1087</v>
      </c>
      <c r="D43" s="131" t="s">
        <v>1521</v>
      </c>
      <c r="E43" s="131" t="s">
        <v>1502</v>
      </c>
      <c r="F43" s="131" t="s">
        <v>1504</v>
      </c>
      <c r="M43" s="131" t="s">
        <v>1535</v>
      </c>
      <c r="N43" s="131" t="s">
        <v>1572</v>
      </c>
      <c r="O43" s="127">
        <v>44683</v>
      </c>
      <c r="P43" s="127">
        <v>44687</v>
      </c>
      <c r="Q43" s="127">
        <v>44683</v>
      </c>
      <c r="R43" s="127">
        <v>44688</v>
      </c>
      <c r="S43" s="128">
        <v>19</v>
      </c>
      <c r="T43" s="128">
        <v>1</v>
      </c>
      <c r="U43" s="128">
        <v>4</v>
      </c>
      <c r="V43" s="129">
        <v>2</v>
      </c>
      <c r="W43" s="128">
        <v>0</v>
      </c>
      <c r="X43" s="130">
        <v>1</v>
      </c>
      <c r="Y43" s="130">
        <v>0.5</v>
      </c>
      <c r="Z43" s="130">
        <v>0</v>
      </c>
      <c r="AC43" s="129">
        <v>0</v>
      </c>
    </row>
    <row r="44" spans="1:29">
      <c r="A44" s="131">
        <v>3</v>
      </c>
      <c r="B44" s="131" t="s">
        <v>1543</v>
      </c>
      <c r="C44" s="131" t="s">
        <v>1087</v>
      </c>
      <c r="D44" s="131" t="s">
        <v>1522</v>
      </c>
      <c r="E44" s="131" t="s">
        <v>1505</v>
      </c>
      <c r="F44" s="131" t="s">
        <v>1543</v>
      </c>
      <c r="M44" s="131" t="s">
        <v>1507</v>
      </c>
      <c r="N44" s="131" t="s">
        <v>1478</v>
      </c>
      <c r="O44" s="127">
        <v>44683</v>
      </c>
      <c r="P44" s="127">
        <v>44687</v>
      </c>
      <c r="Q44" s="127">
        <v>44683</v>
      </c>
      <c r="R44" s="127">
        <v>44688</v>
      </c>
      <c r="S44" s="128">
        <v>19</v>
      </c>
      <c r="T44" s="128">
        <v>1</v>
      </c>
      <c r="U44" s="128">
        <v>4</v>
      </c>
      <c r="V44" s="129">
        <v>2</v>
      </c>
      <c r="W44" s="128">
        <v>0</v>
      </c>
      <c r="X44" s="130">
        <v>1</v>
      </c>
      <c r="Y44" s="130">
        <v>0.5</v>
      </c>
      <c r="Z44" s="130">
        <v>0</v>
      </c>
      <c r="AC44" s="129">
        <v>0</v>
      </c>
    </row>
    <row r="45" spans="1:29">
      <c r="A45" s="131">
        <v>3</v>
      </c>
      <c r="B45" s="131" t="s">
        <v>1544</v>
      </c>
      <c r="C45" s="131" t="s">
        <v>1087</v>
      </c>
      <c r="D45" s="131" t="s">
        <v>1522</v>
      </c>
      <c r="E45" s="131" t="s">
        <v>1505</v>
      </c>
      <c r="F45" s="131" t="s">
        <v>1544</v>
      </c>
      <c r="M45" s="131" t="s">
        <v>1550</v>
      </c>
      <c r="N45" s="131" t="s">
        <v>1478</v>
      </c>
      <c r="O45" s="127">
        <v>44685</v>
      </c>
      <c r="P45" s="127">
        <v>44687</v>
      </c>
      <c r="Q45" s="127">
        <v>44683</v>
      </c>
      <c r="R45" s="127">
        <v>44688</v>
      </c>
      <c r="S45" s="128">
        <v>19</v>
      </c>
      <c r="T45" s="128">
        <v>1</v>
      </c>
      <c r="U45" s="128">
        <v>2</v>
      </c>
      <c r="V45" s="129">
        <v>0</v>
      </c>
      <c r="W45" s="128">
        <v>0</v>
      </c>
      <c r="X45" s="130">
        <v>1</v>
      </c>
      <c r="Y45" s="130">
        <v>0</v>
      </c>
      <c r="Z45" s="130">
        <v>0</v>
      </c>
      <c r="AC45" s="129">
        <v>0</v>
      </c>
    </row>
    <row r="46" spans="1:29">
      <c r="A46" s="131">
        <v>3</v>
      </c>
      <c r="B46" s="131" t="s">
        <v>1509</v>
      </c>
      <c r="C46" s="131" t="s">
        <v>1087</v>
      </c>
      <c r="D46" s="131" t="s">
        <v>1523</v>
      </c>
      <c r="E46" s="131" t="s">
        <v>1508</v>
      </c>
      <c r="F46" s="131" t="s">
        <v>1509</v>
      </c>
      <c r="M46" s="131" t="s">
        <v>1545</v>
      </c>
      <c r="N46" s="131" t="s">
        <v>1478</v>
      </c>
      <c r="O46" s="127">
        <v>44690</v>
      </c>
      <c r="P46" s="127">
        <v>44699</v>
      </c>
      <c r="Q46" s="127">
        <v>44689</v>
      </c>
      <c r="R46" s="127">
        <v>44695</v>
      </c>
      <c r="S46" s="128">
        <v>20</v>
      </c>
      <c r="T46" s="128">
        <v>2</v>
      </c>
      <c r="U46" s="128">
        <v>5</v>
      </c>
      <c r="V46" s="129">
        <v>0</v>
      </c>
      <c r="W46" s="128">
        <v>0</v>
      </c>
      <c r="X46" s="130">
        <v>1</v>
      </c>
      <c r="Y46" s="130">
        <v>0</v>
      </c>
      <c r="Z46" s="130">
        <v>0</v>
      </c>
      <c r="AC46" s="129">
        <v>0</v>
      </c>
    </row>
    <row r="47" spans="1:29">
      <c r="A47" s="131">
        <v>3</v>
      </c>
      <c r="B47" s="131" t="s">
        <v>1509</v>
      </c>
      <c r="C47" s="131" t="s">
        <v>1087</v>
      </c>
      <c r="D47" s="131" t="s">
        <v>1523</v>
      </c>
      <c r="E47" s="131" t="s">
        <v>1508</v>
      </c>
      <c r="F47" s="131" t="s">
        <v>1509</v>
      </c>
      <c r="M47" s="131" t="s">
        <v>1545</v>
      </c>
      <c r="N47" s="131" t="s">
        <v>1478</v>
      </c>
      <c r="O47" s="127">
        <v>44690</v>
      </c>
      <c r="P47" s="127">
        <v>44699</v>
      </c>
      <c r="Q47" s="127">
        <v>44696</v>
      </c>
      <c r="R47" s="127">
        <v>44702</v>
      </c>
      <c r="S47" s="128">
        <v>21</v>
      </c>
      <c r="T47" s="128">
        <v>3</v>
      </c>
      <c r="U47" s="128">
        <v>3</v>
      </c>
      <c r="V47" s="129">
        <v>0</v>
      </c>
      <c r="W47" s="128">
        <v>0</v>
      </c>
      <c r="X47" s="130">
        <v>1</v>
      </c>
      <c r="Y47" s="130">
        <v>0</v>
      </c>
      <c r="Z47" s="130">
        <v>0</v>
      </c>
      <c r="AC47" s="129">
        <v>0</v>
      </c>
    </row>
    <row r="48" spans="1:29">
      <c r="A48" s="131">
        <v>3</v>
      </c>
      <c r="B48" s="131" t="s">
        <v>1511</v>
      </c>
      <c r="C48" s="131" t="s">
        <v>1087</v>
      </c>
      <c r="D48" s="131" t="s">
        <v>1523</v>
      </c>
      <c r="E48" s="131" t="s">
        <v>1508</v>
      </c>
      <c r="F48" s="131" t="s">
        <v>1510</v>
      </c>
      <c r="G48" s="131" t="s">
        <v>1511</v>
      </c>
      <c r="M48" s="131" t="s">
        <v>1547</v>
      </c>
      <c r="N48" s="131" t="s">
        <v>1478</v>
      </c>
      <c r="O48" s="127">
        <v>44690</v>
      </c>
      <c r="P48" s="127">
        <v>44699</v>
      </c>
      <c r="Q48" s="127">
        <v>44689</v>
      </c>
      <c r="R48" s="127">
        <v>44695</v>
      </c>
      <c r="S48" s="128">
        <v>20</v>
      </c>
      <c r="T48" s="128">
        <v>2</v>
      </c>
      <c r="U48" s="128">
        <v>5</v>
      </c>
      <c r="V48" s="129">
        <v>0</v>
      </c>
      <c r="W48" s="128">
        <v>0</v>
      </c>
      <c r="X48" s="130">
        <v>1</v>
      </c>
      <c r="Y48" s="130">
        <v>0</v>
      </c>
      <c r="Z48" s="130">
        <v>0</v>
      </c>
      <c r="AC48" s="129">
        <v>0</v>
      </c>
    </row>
    <row r="49" spans="1:29">
      <c r="A49" s="131">
        <v>3</v>
      </c>
      <c r="B49" s="131" t="s">
        <v>1511</v>
      </c>
      <c r="C49" s="131" t="s">
        <v>1087</v>
      </c>
      <c r="D49" s="131" t="s">
        <v>1523</v>
      </c>
      <c r="E49" s="131" t="s">
        <v>1508</v>
      </c>
      <c r="F49" s="131" t="s">
        <v>1510</v>
      </c>
      <c r="G49" s="131" t="s">
        <v>1511</v>
      </c>
      <c r="M49" s="131" t="s">
        <v>1547</v>
      </c>
      <c r="N49" s="131" t="s">
        <v>1478</v>
      </c>
      <c r="O49" s="127">
        <v>44690</v>
      </c>
      <c r="P49" s="127">
        <v>44699</v>
      </c>
      <c r="Q49" s="127">
        <v>44696</v>
      </c>
      <c r="R49" s="127">
        <v>44702</v>
      </c>
      <c r="S49" s="128">
        <v>21</v>
      </c>
      <c r="T49" s="128">
        <v>3</v>
      </c>
      <c r="U49" s="128">
        <v>3</v>
      </c>
      <c r="V49" s="129">
        <v>0</v>
      </c>
      <c r="W49" s="128">
        <v>0</v>
      </c>
      <c r="X49" s="130">
        <v>1</v>
      </c>
      <c r="Y49" s="130">
        <v>0</v>
      </c>
      <c r="Z49" s="130">
        <v>0</v>
      </c>
      <c r="AC49" s="129">
        <v>0</v>
      </c>
    </row>
    <row r="50" spans="1:29">
      <c r="A50" s="131">
        <v>3</v>
      </c>
      <c r="B50" s="131" t="s">
        <v>1512</v>
      </c>
      <c r="C50" s="131" t="s">
        <v>1087</v>
      </c>
      <c r="D50" s="131" t="s">
        <v>1523</v>
      </c>
      <c r="E50" s="131" t="s">
        <v>1508</v>
      </c>
      <c r="F50" s="131" t="s">
        <v>1510</v>
      </c>
      <c r="G50" s="131" t="s">
        <v>1512</v>
      </c>
      <c r="M50" s="131" t="s">
        <v>1546</v>
      </c>
      <c r="N50" s="131" t="s">
        <v>1478</v>
      </c>
      <c r="O50" s="127">
        <v>44690</v>
      </c>
      <c r="P50" s="127">
        <v>44699</v>
      </c>
      <c r="Q50" s="127">
        <v>44689</v>
      </c>
      <c r="R50" s="127">
        <v>44695</v>
      </c>
      <c r="S50" s="128">
        <v>20</v>
      </c>
      <c r="T50" s="128">
        <v>2</v>
      </c>
      <c r="U50" s="128">
        <v>5</v>
      </c>
      <c r="V50" s="129">
        <v>0</v>
      </c>
      <c r="W50" s="128">
        <v>0</v>
      </c>
      <c r="X50" s="130">
        <v>1</v>
      </c>
      <c r="Y50" s="130">
        <v>0</v>
      </c>
      <c r="Z50" s="130">
        <v>0</v>
      </c>
      <c r="AC50" s="129">
        <v>0</v>
      </c>
    </row>
    <row r="51" spans="1:29">
      <c r="A51" s="131">
        <v>3</v>
      </c>
      <c r="B51" s="131" t="s">
        <v>1512</v>
      </c>
      <c r="C51" s="131" t="s">
        <v>1087</v>
      </c>
      <c r="D51" s="131" t="s">
        <v>1523</v>
      </c>
      <c r="E51" s="131" t="s">
        <v>1508</v>
      </c>
      <c r="F51" s="131" t="s">
        <v>1510</v>
      </c>
      <c r="G51" s="131" t="s">
        <v>1512</v>
      </c>
      <c r="M51" s="131" t="s">
        <v>1546</v>
      </c>
      <c r="N51" s="131" t="s">
        <v>1478</v>
      </c>
      <c r="O51" s="127">
        <v>44690</v>
      </c>
      <c r="P51" s="127">
        <v>44699</v>
      </c>
      <c r="Q51" s="127">
        <v>44696</v>
      </c>
      <c r="R51" s="127">
        <v>44702</v>
      </c>
      <c r="S51" s="128">
        <v>21</v>
      </c>
      <c r="T51" s="128">
        <v>3</v>
      </c>
      <c r="U51" s="128">
        <v>3</v>
      </c>
      <c r="V51" s="129">
        <v>0</v>
      </c>
      <c r="W51" s="128">
        <v>0</v>
      </c>
      <c r="X51" s="130">
        <v>1</v>
      </c>
      <c r="Y51" s="130">
        <v>0</v>
      </c>
      <c r="Z51" s="130">
        <v>0</v>
      </c>
      <c r="AC51" s="129">
        <v>0</v>
      </c>
    </row>
    <row r="52" spans="1:29">
      <c r="A52" s="131">
        <v>3</v>
      </c>
      <c r="B52" s="131" t="s">
        <v>1513</v>
      </c>
      <c r="C52" s="131" t="s">
        <v>1087</v>
      </c>
      <c r="D52" s="131" t="s">
        <v>1523</v>
      </c>
      <c r="E52" s="131" t="s">
        <v>1508</v>
      </c>
      <c r="F52" s="131" t="s">
        <v>1510</v>
      </c>
      <c r="G52" s="131" t="s">
        <v>1513</v>
      </c>
      <c r="M52" s="131" t="s">
        <v>1548</v>
      </c>
      <c r="N52" s="131" t="s">
        <v>1478</v>
      </c>
      <c r="O52" s="127">
        <v>44690</v>
      </c>
      <c r="P52" s="127">
        <v>44699</v>
      </c>
      <c r="Q52" s="127">
        <v>44689</v>
      </c>
      <c r="R52" s="127">
        <v>44695</v>
      </c>
      <c r="S52" s="128">
        <v>20</v>
      </c>
      <c r="T52" s="128">
        <v>2</v>
      </c>
      <c r="U52" s="128">
        <v>5</v>
      </c>
      <c r="V52" s="129">
        <v>0</v>
      </c>
      <c r="W52" s="128">
        <v>0</v>
      </c>
      <c r="X52" s="130">
        <v>1</v>
      </c>
      <c r="Y52" s="130">
        <v>0</v>
      </c>
      <c r="Z52" s="130">
        <v>0</v>
      </c>
      <c r="AC52" s="129">
        <v>0</v>
      </c>
    </row>
    <row r="53" spans="1:29">
      <c r="A53" s="131">
        <v>3</v>
      </c>
      <c r="B53" s="131" t="s">
        <v>1513</v>
      </c>
      <c r="C53" s="131" t="s">
        <v>1087</v>
      </c>
      <c r="D53" s="131" t="s">
        <v>1523</v>
      </c>
      <c r="E53" s="131" t="s">
        <v>1508</v>
      </c>
      <c r="F53" s="131" t="s">
        <v>1510</v>
      </c>
      <c r="G53" s="131" t="s">
        <v>1513</v>
      </c>
      <c r="M53" s="131" t="s">
        <v>1548</v>
      </c>
      <c r="N53" s="131" t="s">
        <v>1478</v>
      </c>
      <c r="O53" s="127">
        <v>44690</v>
      </c>
      <c r="P53" s="127">
        <v>44699</v>
      </c>
      <c r="Q53" s="127">
        <v>44696</v>
      </c>
      <c r="R53" s="127">
        <v>44702</v>
      </c>
      <c r="S53" s="128">
        <v>21</v>
      </c>
      <c r="T53" s="128">
        <v>3</v>
      </c>
      <c r="U53" s="128">
        <v>3</v>
      </c>
      <c r="V53" s="129">
        <v>0</v>
      </c>
      <c r="W53" s="128">
        <v>0</v>
      </c>
      <c r="X53" s="130">
        <v>1</v>
      </c>
      <c r="Y53" s="130">
        <v>0</v>
      </c>
      <c r="Z53" s="130">
        <v>0</v>
      </c>
      <c r="AC53" s="129">
        <v>0</v>
      </c>
    </row>
    <row r="54" spans="1:29">
      <c r="A54" s="131">
        <v>3</v>
      </c>
      <c r="B54" s="131" t="s">
        <v>1516</v>
      </c>
      <c r="C54" s="131" t="s">
        <v>1087</v>
      </c>
      <c r="D54" s="131" t="s">
        <v>1523</v>
      </c>
      <c r="E54" s="131" t="s">
        <v>1514</v>
      </c>
      <c r="F54" s="131" t="s">
        <v>1516</v>
      </c>
      <c r="M54" s="131" t="s">
        <v>1517</v>
      </c>
      <c r="N54" s="131" t="s">
        <v>1555</v>
      </c>
      <c r="O54" s="127">
        <v>44699</v>
      </c>
      <c r="P54" s="127">
        <v>44699</v>
      </c>
      <c r="Q54" s="127">
        <v>44696</v>
      </c>
      <c r="R54" s="127">
        <v>44702</v>
      </c>
      <c r="S54" s="128">
        <v>21</v>
      </c>
      <c r="T54" s="128">
        <v>3</v>
      </c>
      <c r="U54" s="128">
        <v>1</v>
      </c>
      <c r="V54" s="129">
        <v>0</v>
      </c>
      <c r="W54" s="128">
        <v>0</v>
      </c>
      <c r="X54" s="130">
        <v>1</v>
      </c>
      <c r="Y54" s="130">
        <v>0</v>
      </c>
      <c r="Z54" s="130">
        <v>0</v>
      </c>
      <c r="AC54" s="129">
        <v>0</v>
      </c>
    </row>
    <row r="55" spans="1:29">
      <c r="A55" s="131">
        <v>3</v>
      </c>
      <c r="B55" s="131" t="s">
        <v>1516</v>
      </c>
      <c r="C55" s="131" t="s">
        <v>1087</v>
      </c>
      <c r="D55" s="131" t="s">
        <v>1523</v>
      </c>
      <c r="E55" s="131" t="s">
        <v>1514</v>
      </c>
      <c r="F55" s="131" t="s">
        <v>1516</v>
      </c>
      <c r="M55" s="131" t="s">
        <v>1517</v>
      </c>
      <c r="N55" s="131" t="s">
        <v>1558</v>
      </c>
      <c r="O55" s="127">
        <v>44699</v>
      </c>
      <c r="P55" s="127">
        <v>44699</v>
      </c>
      <c r="Q55" s="127">
        <v>44696</v>
      </c>
      <c r="R55" s="127">
        <v>44702</v>
      </c>
      <c r="S55" s="128">
        <v>21</v>
      </c>
      <c r="T55" s="128">
        <v>3</v>
      </c>
      <c r="U55" s="128">
        <v>1</v>
      </c>
      <c r="V55" s="129">
        <v>0</v>
      </c>
      <c r="W55" s="128">
        <v>0</v>
      </c>
      <c r="X55" s="130">
        <v>1</v>
      </c>
      <c r="Y55" s="130">
        <v>0</v>
      </c>
      <c r="Z55" s="130">
        <v>0</v>
      </c>
      <c r="AC55" s="129">
        <v>0</v>
      </c>
    </row>
    <row r="56" spans="1:29">
      <c r="A56" s="131">
        <v>3</v>
      </c>
      <c r="B56" s="131" t="s">
        <v>1516</v>
      </c>
      <c r="C56" s="131" t="s">
        <v>1087</v>
      </c>
      <c r="D56" s="131" t="s">
        <v>1523</v>
      </c>
      <c r="E56" s="131" t="s">
        <v>1514</v>
      </c>
      <c r="F56" s="131" t="s">
        <v>1516</v>
      </c>
      <c r="M56" s="131" t="s">
        <v>1517</v>
      </c>
      <c r="N56" s="131" t="s">
        <v>1570</v>
      </c>
      <c r="O56" s="127">
        <v>44699</v>
      </c>
      <c r="P56" s="127">
        <v>44699</v>
      </c>
      <c r="Q56" s="127">
        <v>44696</v>
      </c>
      <c r="R56" s="127">
        <v>44702</v>
      </c>
      <c r="S56" s="128">
        <v>21</v>
      </c>
      <c r="T56" s="128">
        <v>3</v>
      </c>
      <c r="U56" s="128">
        <v>1</v>
      </c>
      <c r="V56" s="129">
        <v>0</v>
      </c>
      <c r="W56" s="128">
        <v>0</v>
      </c>
      <c r="X56" s="130">
        <v>1</v>
      </c>
      <c r="Y56" s="130">
        <v>0</v>
      </c>
      <c r="Z56" s="130">
        <v>0</v>
      </c>
      <c r="AC56" s="129">
        <v>0</v>
      </c>
    </row>
    <row r="57" spans="1:29">
      <c r="A57" s="131">
        <v>3</v>
      </c>
      <c r="B57" s="131" t="s">
        <v>1516</v>
      </c>
      <c r="C57" s="131" t="s">
        <v>1087</v>
      </c>
      <c r="D57" s="131" t="s">
        <v>1523</v>
      </c>
      <c r="E57" s="131" t="s">
        <v>1514</v>
      </c>
      <c r="F57" s="131" t="s">
        <v>1516</v>
      </c>
      <c r="M57" s="131" t="s">
        <v>1517</v>
      </c>
      <c r="N57" s="131" t="s">
        <v>1571</v>
      </c>
      <c r="O57" s="127">
        <v>44699</v>
      </c>
      <c r="P57" s="127">
        <v>44699</v>
      </c>
      <c r="Q57" s="127">
        <v>44696</v>
      </c>
      <c r="R57" s="127">
        <v>44702</v>
      </c>
      <c r="S57" s="128">
        <v>21</v>
      </c>
      <c r="T57" s="128">
        <v>3</v>
      </c>
      <c r="U57" s="128">
        <v>1</v>
      </c>
      <c r="V57" s="129">
        <v>0</v>
      </c>
      <c r="W57" s="128">
        <v>0</v>
      </c>
      <c r="X57" s="130">
        <v>1</v>
      </c>
      <c r="Y57" s="130">
        <v>0</v>
      </c>
      <c r="Z57" s="130">
        <v>0</v>
      </c>
      <c r="AC57" s="129">
        <v>0</v>
      </c>
    </row>
    <row r="58" spans="1:29">
      <c r="A58" s="131">
        <v>3</v>
      </c>
      <c r="B58" s="131" t="s">
        <v>1516</v>
      </c>
      <c r="C58" s="131" t="s">
        <v>1087</v>
      </c>
      <c r="D58" s="131" t="s">
        <v>1523</v>
      </c>
      <c r="E58" s="131" t="s">
        <v>1514</v>
      </c>
      <c r="F58" s="131" t="s">
        <v>1516</v>
      </c>
      <c r="M58" s="131" t="s">
        <v>1517</v>
      </c>
      <c r="N58" s="131" t="s">
        <v>1572</v>
      </c>
      <c r="O58" s="127">
        <v>44699</v>
      </c>
      <c r="P58" s="127">
        <v>44699</v>
      </c>
      <c r="Q58" s="127">
        <v>44696</v>
      </c>
      <c r="R58" s="127">
        <v>44702</v>
      </c>
      <c r="S58" s="128">
        <v>21</v>
      </c>
      <c r="T58" s="128">
        <v>3</v>
      </c>
      <c r="U58" s="128">
        <v>1</v>
      </c>
      <c r="V58" s="129">
        <v>0</v>
      </c>
      <c r="W58" s="128">
        <v>0</v>
      </c>
      <c r="X58" s="130">
        <v>1</v>
      </c>
      <c r="Y58" s="130">
        <v>0</v>
      </c>
      <c r="Z58" s="130">
        <v>0</v>
      </c>
      <c r="AC58" s="129">
        <v>0</v>
      </c>
    </row>
    <row r="59" spans="1:29">
      <c r="A59" s="131">
        <v>3</v>
      </c>
      <c r="B59" s="131" t="s">
        <v>1518</v>
      </c>
      <c r="C59" s="131" t="s">
        <v>1087</v>
      </c>
      <c r="D59" s="131" t="s">
        <v>1523</v>
      </c>
      <c r="E59" s="131" t="s">
        <v>1514</v>
      </c>
      <c r="F59" s="131" t="s">
        <v>1518</v>
      </c>
      <c r="M59" s="131" t="s">
        <v>1549</v>
      </c>
      <c r="N59" s="131" t="s">
        <v>1478</v>
      </c>
      <c r="O59" s="127">
        <v>44699</v>
      </c>
      <c r="P59" s="127">
        <v>44700</v>
      </c>
      <c r="Q59" s="127">
        <v>44696</v>
      </c>
      <c r="R59" s="127">
        <v>44702</v>
      </c>
      <c r="S59" s="128">
        <v>21</v>
      </c>
      <c r="T59" s="128">
        <v>3</v>
      </c>
      <c r="U59" s="128">
        <v>2</v>
      </c>
      <c r="V59" s="129">
        <v>0</v>
      </c>
      <c r="W59" s="128">
        <v>0</v>
      </c>
      <c r="X59" s="130">
        <v>1</v>
      </c>
      <c r="Y59" s="130">
        <v>0</v>
      </c>
      <c r="Z59" s="130">
        <v>0</v>
      </c>
      <c r="AC59" s="129">
        <v>0</v>
      </c>
    </row>
    <row r="60" spans="1:29">
      <c r="A60" s="131">
        <v>3</v>
      </c>
      <c r="B60" s="131" t="s">
        <v>1553</v>
      </c>
      <c r="C60" s="131" t="s">
        <v>1087</v>
      </c>
      <c r="D60" s="131" t="s">
        <v>1523</v>
      </c>
      <c r="E60" s="131" t="s">
        <v>1552</v>
      </c>
      <c r="F60" s="131" t="s">
        <v>1553</v>
      </c>
      <c r="M60" s="131" t="s">
        <v>1520</v>
      </c>
      <c r="N60" s="131" t="s">
        <v>1478</v>
      </c>
      <c r="O60" s="127">
        <v>44687</v>
      </c>
      <c r="P60" s="127">
        <v>44691</v>
      </c>
      <c r="Q60" s="127">
        <v>44683</v>
      </c>
      <c r="R60" s="127">
        <v>44688</v>
      </c>
      <c r="S60" s="128">
        <v>19</v>
      </c>
      <c r="T60" s="128">
        <v>1</v>
      </c>
      <c r="U60" s="128">
        <v>1</v>
      </c>
      <c r="V60" s="129">
        <v>0</v>
      </c>
      <c r="W60" s="128">
        <v>0</v>
      </c>
      <c r="X60" s="130">
        <v>1</v>
      </c>
      <c r="Y60" s="130">
        <v>0</v>
      </c>
      <c r="Z60" s="130">
        <v>0</v>
      </c>
      <c r="AC60" s="129">
        <v>0</v>
      </c>
    </row>
    <row r="61" spans="1:29">
      <c r="A61" s="131">
        <v>3</v>
      </c>
      <c r="B61" s="131" t="s">
        <v>1553</v>
      </c>
      <c r="C61" s="131" t="s">
        <v>1087</v>
      </c>
      <c r="D61" s="131" t="s">
        <v>1523</v>
      </c>
      <c r="E61" s="131" t="s">
        <v>1552</v>
      </c>
      <c r="F61" s="131" t="s">
        <v>1553</v>
      </c>
      <c r="M61" s="131" t="s">
        <v>1520</v>
      </c>
      <c r="N61" s="131" t="s">
        <v>1478</v>
      </c>
      <c r="O61" s="127">
        <v>44687</v>
      </c>
      <c r="P61" s="127">
        <v>44691</v>
      </c>
      <c r="Q61" s="127">
        <v>44689</v>
      </c>
      <c r="R61" s="127">
        <v>44695</v>
      </c>
      <c r="S61" s="128">
        <v>20</v>
      </c>
      <c r="T61" s="128">
        <v>2</v>
      </c>
      <c r="U61" s="128">
        <v>2</v>
      </c>
      <c r="V61" s="129">
        <v>0</v>
      </c>
      <c r="W61" s="128">
        <v>0</v>
      </c>
      <c r="X61" s="130">
        <v>1</v>
      </c>
      <c r="Y61" s="130">
        <v>0</v>
      </c>
      <c r="Z61" s="130">
        <v>0</v>
      </c>
      <c r="AC61" s="129">
        <v>0</v>
      </c>
    </row>
    <row r="62" spans="1:29">
      <c r="A62" s="131">
        <v>3</v>
      </c>
      <c r="B62" s="131" t="s">
        <v>1554</v>
      </c>
      <c r="C62" s="131" t="s">
        <v>1087</v>
      </c>
      <c r="D62" s="131" t="s">
        <v>1523</v>
      </c>
      <c r="E62" s="131" t="s">
        <v>1552</v>
      </c>
      <c r="F62" s="131" t="s">
        <v>1554</v>
      </c>
      <c r="M62" s="131" t="s">
        <v>1538</v>
      </c>
      <c r="N62" s="131" t="s">
        <v>1558</v>
      </c>
      <c r="O62" s="127">
        <v>44700</v>
      </c>
      <c r="P62" s="127">
        <v>44700</v>
      </c>
      <c r="Q62" s="127">
        <v>44696</v>
      </c>
      <c r="R62" s="127">
        <v>44702</v>
      </c>
      <c r="S62" s="128">
        <v>21</v>
      </c>
      <c r="T62" s="128">
        <v>3</v>
      </c>
      <c r="U62" s="128">
        <v>0</v>
      </c>
      <c r="V62" s="129">
        <v>0</v>
      </c>
      <c r="W62" s="128">
        <v>0</v>
      </c>
      <c r="X62" s="130">
        <v>0</v>
      </c>
      <c r="Y62" s="130">
        <v>0</v>
      </c>
      <c r="Z62" s="130">
        <v>0</v>
      </c>
      <c r="AC62"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
  <cols>
    <col min="1" max="1" width="50.58203125" bestFit="1" customWidth="1"/>
    <col min="2" max="2" width="19" bestFit="1" customWidth="1"/>
    <col min="3" max="3" width="23" bestFit="1" customWidth="1"/>
    <col min="4" max="4" width="14.25" bestFit="1" customWidth="1"/>
    <col min="5" max="5" width="9.33203125" bestFit="1" customWidth="1"/>
    <col min="6" max="6" width="5.75" bestFit="1" customWidth="1"/>
    <col min="7" max="7" width="17.83203125" bestFit="1" customWidth="1"/>
    <col min="8" max="8" width="5.25" bestFit="1" customWidth="1"/>
    <col min="9" max="10" width="11.58203125" style="83" bestFit="1" customWidth="1"/>
    <col min="11" max="11" width="24.83203125" style="83" bestFit="1" customWidth="1"/>
    <col min="12" max="12" width="9.08203125" bestFit="1" customWidth="1"/>
    <col min="14" max="14" width="24.83203125" style="83" bestFit="1" customWidth="1"/>
    <col min="15" max="15" width="11" bestFit="1" customWidth="1"/>
    <col min="16" max="16" width="7.08203125" bestFit="1" customWidth="1"/>
    <col min="18" max="19" width="11" bestFit="1" customWidth="1"/>
    <col min="20" max="20" width="13" bestFit="1" customWidth="1"/>
    <col min="21" max="21" width="11" bestFit="1" customWidth="1"/>
    <col min="22" max="22" width="7.08203125" bestFit="1" customWidth="1"/>
    <col min="23" max="23" width="13.5" bestFit="1" customWidth="1"/>
    <col min="24" max="24" width="7.08203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1405</v>
      </c>
      <c r="J1" s="137" t="s">
        <v>558</v>
      </c>
      <c r="K1" s="137" t="s">
        <v>1309</v>
      </c>
      <c r="L1" s="94" t="s">
        <v>123</v>
      </c>
      <c r="M1" s="94" t="s">
        <v>1404</v>
      </c>
      <c r="N1" s="137" t="s">
        <v>1408</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0"/>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권기일</cp:lastModifiedBy>
  <cp:lastPrinted>2021-01-01T13:36:29Z</cp:lastPrinted>
  <dcterms:created xsi:type="dcterms:W3CDTF">2018-02-18T09:45:14Z</dcterms:created>
  <dcterms:modified xsi:type="dcterms:W3CDTF">2022-05-06T02:07:18Z</dcterms:modified>
</cp:coreProperties>
</file>